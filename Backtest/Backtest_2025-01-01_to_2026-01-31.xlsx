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jas/Documents/Python/Strategies Github/Short Strangle/Data/"/>
    </mc:Choice>
  </mc:AlternateContent>
  <xr:revisionPtr revIDLastSave="0" documentId="13_ncr:1_{3FED05BA-D4D0-FA46-8874-9AE771F20B35}" xr6:coauthVersionLast="47" xr6:coauthVersionMax="47" xr10:uidLastSave="{00000000-0000-0000-0000-000000000000}"/>
  <bookViews>
    <workbookView xWindow="0" yWindow="660" windowWidth="29400" windowHeight="16980" activeTab="1" xr2:uid="{22BB6702-0D68-44B7-83C8-F2B746687988}"/>
  </bookViews>
  <sheets>
    <sheet name="Backtest_2025-01-01_to_2025-06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2" l="1"/>
  <c r="F10" i="2"/>
  <c r="F7" i="2"/>
  <c r="I2" i="2"/>
  <c r="F6" i="2"/>
  <c r="F5" i="2"/>
  <c r="F3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2" i="2"/>
  <c r="S209" i="1" l="1"/>
  <c r="T209" i="1" s="1"/>
  <c r="S335" i="1"/>
  <c r="T335" i="1" s="1"/>
  <c r="Q3" i="1"/>
  <c r="S3" i="1" s="1"/>
  <c r="Q4" i="1"/>
  <c r="S4" i="1" s="1"/>
  <c r="Q5" i="1"/>
  <c r="S5" i="1" s="1"/>
  <c r="Q6" i="1"/>
  <c r="S6" i="1" s="1"/>
  <c r="Q7" i="1"/>
  <c r="S7" i="1" s="1"/>
  <c r="Q8" i="1"/>
  <c r="S8" i="1" s="1"/>
  <c r="Q9" i="1"/>
  <c r="S9" i="1" s="1"/>
  <c r="Q10" i="1"/>
  <c r="S10" i="1" s="1"/>
  <c r="T10" i="1" s="1"/>
  <c r="Q11" i="1"/>
  <c r="S11" i="1" s="1"/>
  <c r="Q12" i="1"/>
  <c r="S12" i="1" s="1"/>
  <c r="Q13" i="1"/>
  <c r="S13" i="1" s="1"/>
  <c r="Q14" i="1"/>
  <c r="S14" i="1" s="1"/>
  <c r="Q15" i="1"/>
  <c r="S15" i="1" s="1"/>
  <c r="Q16" i="1"/>
  <c r="S16" i="1" s="1"/>
  <c r="Q17" i="1"/>
  <c r="S17" i="1" s="1"/>
  <c r="Q18" i="1"/>
  <c r="S18" i="1" s="1"/>
  <c r="T18" i="1" s="1"/>
  <c r="Q19" i="1"/>
  <c r="S19" i="1" s="1"/>
  <c r="Q20" i="1"/>
  <c r="S20" i="1" s="1"/>
  <c r="Q21" i="1"/>
  <c r="S21" i="1" s="1"/>
  <c r="Q22" i="1"/>
  <c r="S22" i="1" s="1"/>
  <c r="Q23" i="1"/>
  <c r="S23" i="1" s="1"/>
  <c r="Q24" i="1"/>
  <c r="S24" i="1" s="1"/>
  <c r="Q25" i="1"/>
  <c r="S25" i="1" s="1"/>
  <c r="Q26" i="1"/>
  <c r="S26" i="1" s="1"/>
  <c r="T26" i="1" s="1"/>
  <c r="Q27" i="1"/>
  <c r="S27" i="1" s="1"/>
  <c r="Q28" i="1"/>
  <c r="S28" i="1" s="1"/>
  <c r="Q29" i="1"/>
  <c r="S29" i="1" s="1"/>
  <c r="Q30" i="1"/>
  <c r="S30" i="1" s="1"/>
  <c r="Q31" i="1"/>
  <c r="S31" i="1" s="1"/>
  <c r="Q32" i="1"/>
  <c r="S32" i="1" s="1"/>
  <c r="Q33" i="1"/>
  <c r="S33" i="1" s="1"/>
  <c r="Q34" i="1"/>
  <c r="S34" i="1" s="1"/>
  <c r="T34" i="1" s="1"/>
  <c r="Q35" i="1"/>
  <c r="S35" i="1" s="1"/>
  <c r="Q36" i="1"/>
  <c r="S36" i="1" s="1"/>
  <c r="Q37" i="1"/>
  <c r="S37" i="1" s="1"/>
  <c r="Q38" i="1"/>
  <c r="S38" i="1" s="1"/>
  <c r="Q39" i="1"/>
  <c r="S39" i="1" s="1"/>
  <c r="Q40" i="1"/>
  <c r="S40" i="1" s="1"/>
  <c r="Q41" i="1"/>
  <c r="S41" i="1" s="1"/>
  <c r="Q42" i="1"/>
  <c r="S42" i="1" s="1"/>
  <c r="T42" i="1" s="1"/>
  <c r="Q43" i="1"/>
  <c r="S43" i="1" s="1"/>
  <c r="Q44" i="1"/>
  <c r="S44" i="1" s="1"/>
  <c r="Q45" i="1"/>
  <c r="S45" i="1" s="1"/>
  <c r="Q46" i="1"/>
  <c r="S46" i="1" s="1"/>
  <c r="Q47" i="1"/>
  <c r="S47" i="1" s="1"/>
  <c r="Q48" i="1"/>
  <c r="S48" i="1" s="1"/>
  <c r="Q49" i="1"/>
  <c r="S49" i="1" s="1"/>
  <c r="Q50" i="1"/>
  <c r="S50" i="1" s="1"/>
  <c r="T50" i="1" s="1"/>
  <c r="Q51" i="1"/>
  <c r="S51" i="1" s="1"/>
  <c r="Q52" i="1"/>
  <c r="S52" i="1" s="1"/>
  <c r="Q53" i="1"/>
  <c r="S53" i="1" s="1"/>
  <c r="Q54" i="1"/>
  <c r="S54" i="1" s="1"/>
  <c r="Q55" i="1"/>
  <c r="S55" i="1" s="1"/>
  <c r="Q56" i="1"/>
  <c r="S56" i="1" s="1"/>
  <c r="Q57" i="1"/>
  <c r="S57" i="1" s="1"/>
  <c r="Q58" i="1"/>
  <c r="S58" i="1" s="1"/>
  <c r="T58" i="1" s="1"/>
  <c r="Q59" i="1"/>
  <c r="S59" i="1" s="1"/>
  <c r="Q60" i="1"/>
  <c r="S60" i="1" s="1"/>
  <c r="Q61" i="1"/>
  <c r="S61" i="1" s="1"/>
  <c r="Q62" i="1"/>
  <c r="S62" i="1" s="1"/>
  <c r="Q63" i="1"/>
  <c r="S63" i="1" s="1"/>
  <c r="Q64" i="1"/>
  <c r="S64" i="1" s="1"/>
  <c r="Q65" i="1"/>
  <c r="S65" i="1" s="1"/>
  <c r="Q66" i="1"/>
  <c r="S66" i="1" s="1"/>
  <c r="T66" i="1" s="1"/>
  <c r="Q67" i="1"/>
  <c r="S67" i="1" s="1"/>
  <c r="Q68" i="1"/>
  <c r="S68" i="1" s="1"/>
  <c r="Q69" i="1"/>
  <c r="S69" i="1" s="1"/>
  <c r="Q70" i="1"/>
  <c r="S70" i="1" s="1"/>
  <c r="Q71" i="1"/>
  <c r="S71" i="1" s="1"/>
  <c r="Q72" i="1"/>
  <c r="S72" i="1" s="1"/>
  <c r="Q73" i="1"/>
  <c r="S73" i="1" s="1"/>
  <c r="Q74" i="1"/>
  <c r="S74" i="1" s="1"/>
  <c r="T74" i="1" s="1"/>
  <c r="Q75" i="1"/>
  <c r="S75" i="1" s="1"/>
  <c r="Q76" i="1"/>
  <c r="S76" i="1" s="1"/>
  <c r="Q77" i="1"/>
  <c r="S77" i="1" s="1"/>
  <c r="Q78" i="1"/>
  <c r="S78" i="1" s="1"/>
  <c r="Q79" i="1"/>
  <c r="S79" i="1" s="1"/>
  <c r="Q80" i="1"/>
  <c r="S80" i="1" s="1"/>
  <c r="Q81" i="1"/>
  <c r="S81" i="1" s="1"/>
  <c r="Q82" i="1"/>
  <c r="S82" i="1" s="1"/>
  <c r="T82" i="1" s="1"/>
  <c r="Q83" i="1"/>
  <c r="S83" i="1" s="1"/>
  <c r="Q84" i="1"/>
  <c r="S84" i="1" s="1"/>
  <c r="Q85" i="1"/>
  <c r="S85" i="1" s="1"/>
  <c r="Q86" i="1"/>
  <c r="S86" i="1" s="1"/>
  <c r="Q87" i="1"/>
  <c r="S87" i="1" s="1"/>
  <c r="Q88" i="1"/>
  <c r="S88" i="1" s="1"/>
  <c r="Q89" i="1"/>
  <c r="S89" i="1" s="1"/>
  <c r="Q90" i="1"/>
  <c r="S90" i="1" s="1"/>
  <c r="T90" i="1" s="1"/>
  <c r="Q91" i="1"/>
  <c r="S91" i="1" s="1"/>
  <c r="T91" i="1" s="1"/>
  <c r="Q92" i="1"/>
  <c r="S92" i="1" s="1"/>
  <c r="Q93" i="1"/>
  <c r="S93" i="1" s="1"/>
  <c r="Q94" i="1"/>
  <c r="S94" i="1" s="1"/>
  <c r="Q95" i="1"/>
  <c r="S95" i="1" s="1"/>
  <c r="Q96" i="1"/>
  <c r="S96" i="1" s="1"/>
  <c r="Q97" i="1"/>
  <c r="S97" i="1" s="1"/>
  <c r="Q98" i="1"/>
  <c r="S98" i="1" s="1"/>
  <c r="T98" i="1" s="1"/>
  <c r="Q99" i="1"/>
  <c r="S99" i="1" s="1"/>
  <c r="Q100" i="1"/>
  <c r="S100" i="1" s="1"/>
  <c r="Q101" i="1"/>
  <c r="S101" i="1" s="1"/>
  <c r="Q102" i="1"/>
  <c r="S102" i="1" s="1"/>
  <c r="Q103" i="1"/>
  <c r="S103" i="1" s="1"/>
  <c r="Q104" i="1"/>
  <c r="S104" i="1" s="1"/>
  <c r="Q105" i="1"/>
  <c r="S105" i="1" s="1"/>
  <c r="Q106" i="1"/>
  <c r="S106" i="1" s="1"/>
  <c r="T106" i="1" s="1"/>
  <c r="Q107" i="1"/>
  <c r="S107" i="1" s="1"/>
  <c r="Q108" i="1"/>
  <c r="S108" i="1" s="1"/>
  <c r="Q109" i="1"/>
  <c r="S109" i="1" s="1"/>
  <c r="Q110" i="1"/>
  <c r="S110" i="1" s="1"/>
  <c r="Q111" i="1"/>
  <c r="S111" i="1" s="1"/>
  <c r="Q112" i="1"/>
  <c r="S112" i="1" s="1"/>
  <c r="Q113" i="1"/>
  <c r="S113" i="1" s="1"/>
  <c r="Q114" i="1"/>
  <c r="S114" i="1" s="1"/>
  <c r="T114" i="1" s="1"/>
  <c r="Q115" i="1"/>
  <c r="S115" i="1" s="1"/>
  <c r="Q116" i="1"/>
  <c r="S116" i="1" s="1"/>
  <c r="Q117" i="1"/>
  <c r="S117" i="1" s="1"/>
  <c r="T117" i="1" s="1"/>
  <c r="Q118" i="1"/>
  <c r="S118" i="1" s="1"/>
  <c r="Q119" i="1"/>
  <c r="S119" i="1" s="1"/>
  <c r="Q120" i="1"/>
  <c r="S120" i="1" s="1"/>
  <c r="Q121" i="1"/>
  <c r="S121" i="1" s="1"/>
  <c r="Q122" i="1"/>
  <c r="S122" i="1" s="1"/>
  <c r="T122" i="1" s="1"/>
  <c r="Q123" i="1"/>
  <c r="S123" i="1" s="1"/>
  <c r="Q124" i="1"/>
  <c r="S124" i="1" s="1"/>
  <c r="Q125" i="1"/>
  <c r="S125" i="1" s="1"/>
  <c r="Q126" i="1"/>
  <c r="S126" i="1" s="1"/>
  <c r="Q127" i="1"/>
  <c r="S127" i="1" s="1"/>
  <c r="Q128" i="1"/>
  <c r="S128" i="1" s="1"/>
  <c r="Q129" i="1"/>
  <c r="S129" i="1" s="1"/>
  <c r="Q130" i="1"/>
  <c r="S130" i="1" s="1"/>
  <c r="T130" i="1" s="1"/>
  <c r="Q131" i="1"/>
  <c r="S131" i="1" s="1"/>
  <c r="Q132" i="1"/>
  <c r="S132" i="1" s="1"/>
  <c r="Q133" i="1"/>
  <c r="S133" i="1" s="1"/>
  <c r="Q134" i="1"/>
  <c r="S134" i="1" s="1"/>
  <c r="Q135" i="1"/>
  <c r="S135" i="1" s="1"/>
  <c r="Q136" i="1"/>
  <c r="S136" i="1" s="1"/>
  <c r="Q137" i="1"/>
  <c r="S137" i="1" s="1"/>
  <c r="Q138" i="1"/>
  <c r="S138" i="1" s="1"/>
  <c r="T138" i="1" s="1"/>
  <c r="Q139" i="1"/>
  <c r="S139" i="1" s="1"/>
  <c r="Q140" i="1"/>
  <c r="S140" i="1" s="1"/>
  <c r="Q141" i="1"/>
  <c r="S141" i="1" s="1"/>
  <c r="Q142" i="1"/>
  <c r="S142" i="1" s="1"/>
  <c r="Q143" i="1"/>
  <c r="S143" i="1" s="1"/>
  <c r="Q144" i="1"/>
  <c r="S144" i="1" s="1"/>
  <c r="T144" i="1" s="1"/>
  <c r="Q145" i="1"/>
  <c r="S145" i="1" s="1"/>
  <c r="Q146" i="1"/>
  <c r="S146" i="1" s="1"/>
  <c r="T146" i="1" s="1"/>
  <c r="Q147" i="1"/>
  <c r="S147" i="1" s="1"/>
  <c r="Q148" i="1"/>
  <c r="S148" i="1" s="1"/>
  <c r="Q149" i="1"/>
  <c r="S149" i="1" s="1"/>
  <c r="Q150" i="1"/>
  <c r="S150" i="1" s="1"/>
  <c r="Q151" i="1"/>
  <c r="S151" i="1" s="1"/>
  <c r="Q152" i="1"/>
  <c r="S152" i="1" s="1"/>
  <c r="Q153" i="1"/>
  <c r="S153" i="1" s="1"/>
  <c r="Q154" i="1"/>
  <c r="S154" i="1" s="1"/>
  <c r="T154" i="1" s="1"/>
  <c r="Q155" i="1"/>
  <c r="S155" i="1" s="1"/>
  <c r="Q156" i="1"/>
  <c r="S156" i="1" s="1"/>
  <c r="Q157" i="1"/>
  <c r="S157" i="1" s="1"/>
  <c r="Q158" i="1"/>
  <c r="S158" i="1" s="1"/>
  <c r="Q159" i="1"/>
  <c r="S159" i="1" s="1"/>
  <c r="Q160" i="1"/>
  <c r="S160" i="1" s="1"/>
  <c r="Q161" i="1"/>
  <c r="S161" i="1" s="1"/>
  <c r="Q162" i="1"/>
  <c r="S162" i="1" s="1"/>
  <c r="T162" i="1" s="1"/>
  <c r="Q163" i="1"/>
  <c r="S163" i="1" s="1"/>
  <c r="Q164" i="1"/>
  <c r="S164" i="1" s="1"/>
  <c r="T164" i="1" s="1"/>
  <c r="Q165" i="1"/>
  <c r="S165" i="1" s="1"/>
  <c r="Q166" i="1"/>
  <c r="S166" i="1" s="1"/>
  <c r="Q167" i="1"/>
  <c r="S167" i="1" s="1"/>
  <c r="Q168" i="1"/>
  <c r="S168" i="1" s="1"/>
  <c r="Q169" i="1"/>
  <c r="S169" i="1" s="1"/>
  <c r="Q170" i="1"/>
  <c r="S170" i="1" s="1"/>
  <c r="T170" i="1" s="1"/>
  <c r="Q171" i="1"/>
  <c r="S171" i="1" s="1"/>
  <c r="Q172" i="1"/>
  <c r="S172" i="1" s="1"/>
  <c r="Q173" i="1"/>
  <c r="S173" i="1" s="1"/>
  <c r="Q174" i="1"/>
  <c r="S174" i="1" s="1"/>
  <c r="Q175" i="1"/>
  <c r="S175" i="1" s="1"/>
  <c r="Q176" i="1"/>
  <c r="S176" i="1" s="1"/>
  <c r="Q177" i="1"/>
  <c r="S177" i="1" s="1"/>
  <c r="Q178" i="1"/>
  <c r="S178" i="1" s="1"/>
  <c r="T178" i="1" s="1"/>
  <c r="Q179" i="1"/>
  <c r="S179" i="1" s="1"/>
  <c r="Q180" i="1"/>
  <c r="S180" i="1" s="1"/>
  <c r="Q181" i="1"/>
  <c r="S181" i="1" s="1"/>
  <c r="Q182" i="1"/>
  <c r="S182" i="1" s="1"/>
  <c r="Q183" i="1"/>
  <c r="S183" i="1" s="1"/>
  <c r="Q184" i="1"/>
  <c r="S184" i="1" s="1"/>
  <c r="Q185" i="1"/>
  <c r="S185" i="1" s="1"/>
  <c r="Q186" i="1"/>
  <c r="S186" i="1" s="1"/>
  <c r="T186" i="1" s="1"/>
  <c r="Q187" i="1"/>
  <c r="S187" i="1" s="1"/>
  <c r="Q188" i="1"/>
  <c r="S188" i="1" s="1"/>
  <c r="Q189" i="1"/>
  <c r="S189" i="1" s="1"/>
  <c r="Q190" i="1"/>
  <c r="S190" i="1" s="1"/>
  <c r="Q191" i="1"/>
  <c r="S191" i="1" s="1"/>
  <c r="Q192" i="1"/>
  <c r="S192" i="1" s="1"/>
  <c r="Q193" i="1"/>
  <c r="S193" i="1" s="1"/>
  <c r="Q194" i="1"/>
  <c r="S194" i="1" s="1"/>
  <c r="T194" i="1" s="1"/>
  <c r="Q195" i="1"/>
  <c r="S195" i="1" s="1"/>
  <c r="Q196" i="1"/>
  <c r="S196" i="1" s="1"/>
  <c r="Q197" i="1"/>
  <c r="S197" i="1" s="1"/>
  <c r="Q198" i="1"/>
  <c r="S198" i="1" s="1"/>
  <c r="Q199" i="1"/>
  <c r="S199" i="1" s="1"/>
  <c r="Q200" i="1"/>
  <c r="S200" i="1" s="1"/>
  <c r="Q201" i="1"/>
  <c r="S201" i="1" s="1"/>
  <c r="Q202" i="1"/>
  <c r="S202" i="1" s="1"/>
  <c r="T202" i="1" s="1"/>
  <c r="Q203" i="1"/>
  <c r="S203" i="1" s="1"/>
  <c r="Q204" i="1"/>
  <c r="S204" i="1" s="1"/>
  <c r="Q205" i="1"/>
  <c r="S205" i="1" s="1"/>
  <c r="Q206" i="1"/>
  <c r="S206" i="1" s="1"/>
  <c r="Q207" i="1"/>
  <c r="S207" i="1" s="1"/>
  <c r="Q208" i="1"/>
  <c r="S208" i="1" s="1"/>
  <c r="Q209" i="1"/>
  <c r="Q210" i="1"/>
  <c r="S210" i="1" s="1"/>
  <c r="T210" i="1" s="1"/>
  <c r="Q211" i="1"/>
  <c r="S211" i="1" s="1"/>
  <c r="Q212" i="1"/>
  <c r="S212" i="1" s="1"/>
  <c r="Q213" i="1"/>
  <c r="S213" i="1" s="1"/>
  <c r="Q214" i="1"/>
  <c r="S214" i="1" s="1"/>
  <c r="Q215" i="1"/>
  <c r="S215" i="1" s="1"/>
  <c r="Q216" i="1"/>
  <c r="S216" i="1" s="1"/>
  <c r="Q217" i="1"/>
  <c r="S217" i="1" s="1"/>
  <c r="Q218" i="1"/>
  <c r="S218" i="1" s="1"/>
  <c r="T218" i="1" s="1"/>
  <c r="Q219" i="1"/>
  <c r="S219" i="1" s="1"/>
  <c r="Q220" i="1"/>
  <c r="S220" i="1" s="1"/>
  <c r="Q221" i="1"/>
  <c r="S221" i="1" s="1"/>
  <c r="Q222" i="1"/>
  <c r="S222" i="1" s="1"/>
  <c r="Q223" i="1"/>
  <c r="S223" i="1" s="1"/>
  <c r="Q224" i="1"/>
  <c r="S224" i="1" s="1"/>
  <c r="Q225" i="1"/>
  <c r="S225" i="1" s="1"/>
  <c r="Q226" i="1"/>
  <c r="S226" i="1" s="1"/>
  <c r="T226" i="1" s="1"/>
  <c r="Q227" i="1"/>
  <c r="S227" i="1" s="1"/>
  <c r="T227" i="1" s="1"/>
  <c r="Q228" i="1"/>
  <c r="S228" i="1" s="1"/>
  <c r="Q229" i="1"/>
  <c r="S229" i="1" s="1"/>
  <c r="Q230" i="1"/>
  <c r="S230" i="1" s="1"/>
  <c r="Q231" i="1"/>
  <c r="S231" i="1" s="1"/>
  <c r="Q232" i="1"/>
  <c r="S232" i="1" s="1"/>
  <c r="Q233" i="1"/>
  <c r="S233" i="1" s="1"/>
  <c r="Q234" i="1"/>
  <c r="S234" i="1" s="1"/>
  <c r="T234" i="1" s="1"/>
  <c r="Q235" i="1"/>
  <c r="S235" i="1" s="1"/>
  <c r="Q236" i="1"/>
  <c r="S236" i="1" s="1"/>
  <c r="Q237" i="1"/>
  <c r="S237" i="1" s="1"/>
  <c r="Q238" i="1"/>
  <c r="S238" i="1" s="1"/>
  <c r="Q239" i="1"/>
  <c r="S239" i="1" s="1"/>
  <c r="Q240" i="1"/>
  <c r="S240" i="1" s="1"/>
  <c r="Q241" i="1"/>
  <c r="S241" i="1" s="1"/>
  <c r="Q242" i="1"/>
  <c r="S242" i="1" s="1"/>
  <c r="T242" i="1" s="1"/>
  <c r="Q243" i="1"/>
  <c r="S243" i="1" s="1"/>
  <c r="Q244" i="1"/>
  <c r="S244" i="1" s="1"/>
  <c r="Q245" i="1"/>
  <c r="S245" i="1" s="1"/>
  <c r="T245" i="1" s="1"/>
  <c r="Q246" i="1"/>
  <c r="S246" i="1" s="1"/>
  <c r="Q247" i="1"/>
  <c r="S247" i="1" s="1"/>
  <c r="Q248" i="1"/>
  <c r="S248" i="1" s="1"/>
  <c r="Q249" i="1"/>
  <c r="S249" i="1" s="1"/>
  <c r="Q250" i="1"/>
  <c r="S250" i="1" s="1"/>
  <c r="T250" i="1" s="1"/>
  <c r="Q251" i="1"/>
  <c r="S251" i="1" s="1"/>
  <c r="Q252" i="1"/>
  <c r="S252" i="1" s="1"/>
  <c r="Q253" i="1"/>
  <c r="S253" i="1" s="1"/>
  <c r="Q254" i="1"/>
  <c r="S254" i="1" s="1"/>
  <c r="Q255" i="1"/>
  <c r="S255" i="1" s="1"/>
  <c r="Q256" i="1"/>
  <c r="S256" i="1" s="1"/>
  <c r="Q257" i="1"/>
  <c r="S257" i="1" s="1"/>
  <c r="Q258" i="1"/>
  <c r="S258" i="1" s="1"/>
  <c r="T258" i="1" s="1"/>
  <c r="Q259" i="1"/>
  <c r="S259" i="1" s="1"/>
  <c r="Q260" i="1"/>
  <c r="S260" i="1" s="1"/>
  <c r="Q261" i="1"/>
  <c r="S261" i="1" s="1"/>
  <c r="Q262" i="1"/>
  <c r="S262" i="1" s="1"/>
  <c r="Q263" i="1"/>
  <c r="S263" i="1" s="1"/>
  <c r="Q264" i="1"/>
  <c r="S264" i="1" s="1"/>
  <c r="T264" i="1" s="1"/>
  <c r="Q265" i="1"/>
  <c r="S265" i="1" s="1"/>
  <c r="Q266" i="1"/>
  <c r="S266" i="1" s="1"/>
  <c r="T266" i="1" s="1"/>
  <c r="Q267" i="1"/>
  <c r="S267" i="1" s="1"/>
  <c r="Q268" i="1"/>
  <c r="S268" i="1" s="1"/>
  <c r="Q269" i="1"/>
  <c r="S269" i="1" s="1"/>
  <c r="Q270" i="1"/>
  <c r="S270" i="1" s="1"/>
  <c r="Q271" i="1"/>
  <c r="S271" i="1" s="1"/>
  <c r="Q272" i="1"/>
  <c r="S272" i="1" s="1"/>
  <c r="Q273" i="1"/>
  <c r="S273" i="1" s="1"/>
  <c r="Q274" i="1"/>
  <c r="S274" i="1" s="1"/>
  <c r="T274" i="1" s="1"/>
  <c r="Q275" i="1"/>
  <c r="S275" i="1" s="1"/>
  <c r="Q276" i="1"/>
  <c r="S276" i="1" s="1"/>
  <c r="Q277" i="1"/>
  <c r="S277" i="1" s="1"/>
  <c r="Q278" i="1"/>
  <c r="S278" i="1" s="1"/>
  <c r="Q279" i="1"/>
  <c r="S279" i="1" s="1"/>
  <c r="Q280" i="1"/>
  <c r="S280" i="1" s="1"/>
  <c r="Q281" i="1"/>
  <c r="S281" i="1" s="1"/>
  <c r="Q282" i="1"/>
  <c r="S282" i="1" s="1"/>
  <c r="T282" i="1" s="1"/>
  <c r="Q283" i="1"/>
  <c r="S283" i="1" s="1"/>
  <c r="Q284" i="1"/>
  <c r="S284" i="1" s="1"/>
  <c r="Q285" i="1"/>
  <c r="S285" i="1" s="1"/>
  <c r="Q286" i="1"/>
  <c r="S286" i="1" s="1"/>
  <c r="Q287" i="1"/>
  <c r="S287" i="1" s="1"/>
  <c r="Q288" i="1"/>
  <c r="S288" i="1" s="1"/>
  <c r="Q289" i="1"/>
  <c r="S289" i="1" s="1"/>
  <c r="Q290" i="1"/>
  <c r="S290" i="1" s="1"/>
  <c r="T290" i="1" s="1"/>
  <c r="Q291" i="1"/>
  <c r="S291" i="1" s="1"/>
  <c r="Q292" i="1"/>
  <c r="S292" i="1" s="1"/>
  <c r="Q293" i="1"/>
  <c r="S293" i="1" s="1"/>
  <c r="Q294" i="1"/>
  <c r="S294" i="1" s="1"/>
  <c r="Q295" i="1"/>
  <c r="S295" i="1" s="1"/>
  <c r="Q296" i="1"/>
  <c r="S296" i="1" s="1"/>
  <c r="T296" i="1" s="1"/>
  <c r="Q297" i="1"/>
  <c r="S297" i="1" s="1"/>
  <c r="Q298" i="1"/>
  <c r="S298" i="1" s="1"/>
  <c r="T298" i="1" s="1"/>
  <c r="Q299" i="1"/>
  <c r="S299" i="1" s="1"/>
  <c r="Q300" i="1"/>
  <c r="S300" i="1" s="1"/>
  <c r="Q301" i="1"/>
  <c r="S301" i="1" s="1"/>
  <c r="Q302" i="1"/>
  <c r="S302" i="1" s="1"/>
  <c r="Q303" i="1"/>
  <c r="S303" i="1" s="1"/>
  <c r="Q304" i="1"/>
  <c r="S304" i="1" s="1"/>
  <c r="Q305" i="1"/>
  <c r="S305" i="1" s="1"/>
  <c r="Q306" i="1"/>
  <c r="S306" i="1" s="1"/>
  <c r="T306" i="1" s="1"/>
  <c r="Q307" i="1"/>
  <c r="S307" i="1" s="1"/>
  <c r="T307" i="1" s="1"/>
  <c r="Q308" i="1"/>
  <c r="S308" i="1" s="1"/>
  <c r="Q309" i="1"/>
  <c r="S309" i="1" s="1"/>
  <c r="Q310" i="1"/>
  <c r="S310" i="1" s="1"/>
  <c r="Q311" i="1"/>
  <c r="S311" i="1" s="1"/>
  <c r="Q312" i="1"/>
  <c r="S312" i="1" s="1"/>
  <c r="Q313" i="1"/>
  <c r="S313" i="1" s="1"/>
  <c r="Q314" i="1"/>
  <c r="S314" i="1" s="1"/>
  <c r="T314" i="1" s="1"/>
  <c r="Q315" i="1"/>
  <c r="S315" i="1" s="1"/>
  <c r="Q316" i="1"/>
  <c r="S316" i="1" s="1"/>
  <c r="Q317" i="1"/>
  <c r="S317" i="1" s="1"/>
  <c r="Q318" i="1"/>
  <c r="S318" i="1" s="1"/>
  <c r="Q319" i="1"/>
  <c r="S319" i="1" s="1"/>
  <c r="Q320" i="1"/>
  <c r="S320" i="1" s="1"/>
  <c r="Q321" i="1"/>
  <c r="S321" i="1" s="1"/>
  <c r="T321" i="1" s="1"/>
  <c r="Q322" i="1"/>
  <c r="S322" i="1" s="1"/>
  <c r="T322" i="1" s="1"/>
  <c r="Q323" i="1"/>
  <c r="S323" i="1" s="1"/>
  <c r="Q324" i="1"/>
  <c r="S324" i="1" s="1"/>
  <c r="Q325" i="1"/>
  <c r="S325" i="1" s="1"/>
  <c r="Q326" i="1"/>
  <c r="S326" i="1" s="1"/>
  <c r="Q327" i="1"/>
  <c r="S327" i="1" s="1"/>
  <c r="Q328" i="1"/>
  <c r="S328" i="1" s="1"/>
  <c r="Q329" i="1"/>
  <c r="S329" i="1" s="1"/>
  <c r="Q330" i="1"/>
  <c r="S330" i="1" s="1"/>
  <c r="T330" i="1" s="1"/>
  <c r="Q331" i="1"/>
  <c r="S331" i="1" s="1"/>
  <c r="Q332" i="1"/>
  <c r="S332" i="1" s="1"/>
  <c r="Q333" i="1"/>
  <c r="S333" i="1" s="1"/>
  <c r="Q334" i="1"/>
  <c r="S334" i="1" s="1"/>
  <c r="Q335" i="1"/>
  <c r="Q336" i="1"/>
  <c r="S336" i="1" s="1"/>
  <c r="Q337" i="1"/>
  <c r="S337" i="1" s="1"/>
  <c r="Q338" i="1"/>
  <c r="S338" i="1" s="1"/>
  <c r="T338" i="1" s="1"/>
  <c r="Q339" i="1"/>
  <c r="S339" i="1" s="1"/>
  <c r="Q340" i="1"/>
  <c r="S340" i="1" s="1"/>
  <c r="Q341" i="1"/>
  <c r="S341" i="1" s="1"/>
  <c r="Q342" i="1"/>
  <c r="S342" i="1" s="1"/>
  <c r="Q343" i="1"/>
  <c r="S343" i="1" s="1"/>
  <c r="Q344" i="1"/>
  <c r="S344" i="1" s="1"/>
  <c r="Q345" i="1"/>
  <c r="S345" i="1" s="1"/>
  <c r="Q346" i="1"/>
  <c r="S346" i="1" s="1"/>
  <c r="T346" i="1" s="1"/>
  <c r="Q347" i="1"/>
  <c r="S347" i="1" s="1"/>
  <c r="Q348" i="1"/>
  <c r="S348" i="1" s="1"/>
  <c r="Q349" i="1"/>
  <c r="S349" i="1" s="1"/>
  <c r="Q350" i="1"/>
  <c r="S350" i="1" s="1"/>
  <c r="Q351" i="1"/>
  <c r="S351" i="1" s="1"/>
  <c r="Q352" i="1"/>
  <c r="S352" i="1" s="1"/>
  <c r="Q353" i="1"/>
  <c r="S353" i="1" s="1"/>
  <c r="Q354" i="1"/>
  <c r="S354" i="1" s="1"/>
  <c r="T354" i="1" s="1"/>
  <c r="Q355" i="1"/>
  <c r="S355" i="1" s="1"/>
  <c r="Q356" i="1"/>
  <c r="S356" i="1" s="1"/>
  <c r="Q357" i="1"/>
  <c r="S357" i="1" s="1"/>
  <c r="Q358" i="1"/>
  <c r="S358" i="1" s="1"/>
  <c r="Q359" i="1"/>
  <c r="S359" i="1" s="1"/>
  <c r="Q360" i="1"/>
  <c r="S360" i="1" s="1"/>
  <c r="T360" i="1" s="1"/>
  <c r="Q361" i="1"/>
  <c r="S361" i="1" s="1"/>
  <c r="Q362" i="1"/>
  <c r="S362" i="1" s="1"/>
  <c r="T362" i="1" s="1"/>
  <c r="Q363" i="1"/>
  <c r="S363" i="1" s="1"/>
  <c r="Q364" i="1"/>
  <c r="S364" i="1" s="1"/>
  <c r="Q365" i="1"/>
  <c r="S365" i="1" s="1"/>
  <c r="Q366" i="1"/>
  <c r="S366" i="1" s="1"/>
  <c r="Q367" i="1"/>
  <c r="S367" i="1" s="1"/>
  <c r="Q368" i="1"/>
  <c r="S368" i="1" s="1"/>
  <c r="Q369" i="1"/>
  <c r="S369" i="1" s="1"/>
  <c r="T369" i="1" s="1"/>
  <c r="Q370" i="1"/>
  <c r="S370" i="1" s="1"/>
  <c r="T370" i="1" s="1"/>
  <c r="Q371" i="1"/>
  <c r="S371" i="1" s="1"/>
  <c r="Q372" i="1"/>
  <c r="S372" i="1" s="1"/>
  <c r="Q373" i="1"/>
  <c r="S373" i="1" s="1"/>
  <c r="Q374" i="1"/>
  <c r="S374" i="1" s="1"/>
  <c r="Q375" i="1"/>
  <c r="S375" i="1" s="1"/>
  <c r="Q376" i="1"/>
  <c r="S376" i="1" s="1"/>
  <c r="Q377" i="1"/>
  <c r="S377" i="1" s="1"/>
  <c r="Q378" i="1"/>
  <c r="S378" i="1" s="1"/>
  <c r="T378" i="1" s="1"/>
  <c r="Q379" i="1"/>
  <c r="S379" i="1" s="1"/>
  <c r="Q380" i="1"/>
  <c r="S380" i="1" s="1"/>
  <c r="Q381" i="1"/>
  <c r="S381" i="1" s="1"/>
  <c r="Q382" i="1"/>
  <c r="S382" i="1" s="1"/>
  <c r="Q383" i="1"/>
  <c r="S383" i="1" s="1"/>
  <c r="Q384" i="1"/>
  <c r="S384" i="1" s="1"/>
  <c r="Q385" i="1"/>
  <c r="S385" i="1" s="1"/>
  <c r="Q386" i="1"/>
  <c r="S386" i="1" s="1"/>
  <c r="T386" i="1" s="1"/>
  <c r="Q387" i="1"/>
  <c r="S387" i="1" s="1"/>
  <c r="Q388" i="1"/>
  <c r="S388" i="1" s="1"/>
  <c r="Q389" i="1"/>
  <c r="S389" i="1" s="1"/>
  <c r="Q390" i="1"/>
  <c r="S390" i="1" s="1"/>
  <c r="Q391" i="1"/>
  <c r="S391" i="1" s="1"/>
  <c r="Q392" i="1"/>
  <c r="S392" i="1" s="1"/>
  <c r="Q393" i="1"/>
  <c r="S393" i="1" s="1"/>
  <c r="Q394" i="1"/>
  <c r="S394" i="1" s="1"/>
  <c r="T394" i="1" s="1"/>
  <c r="Q395" i="1"/>
  <c r="S395" i="1" s="1"/>
  <c r="Q396" i="1"/>
  <c r="S396" i="1" s="1"/>
  <c r="Q397" i="1"/>
  <c r="S397" i="1" s="1"/>
  <c r="Q2" i="1"/>
  <c r="S2" i="1" s="1"/>
  <c r="P3" i="1"/>
  <c r="R3" i="1" s="1"/>
  <c r="P4" i="1"/>
  <c r="R4" i="1" s="1"/>
  <c r="P5" i="1"/>
  <c r="R5" i="1" s="1"/>
  <c r="P6" i="1"/>
  <c r="R6" i="1" s="1"/>
  <c r="P7" i="1"/>
  <c r="R7" i="1" s="1"/>
  <c r="P8" i="1"/>
  <c r="R8" i="1" s="1"/>
  <c r="P9" i="1"/>
  <c r="R9" i="1" s="1"/>
  <c r="P10" i="1"/>
  <c r="R10" i="1" s="1"/>
  <c r="P11" i="1"/>
  <c r="R11" i="1" s="1"/>
  <c r="P12" i="1"/>
  <c r="R12" i="1" s="1"/>
  <c r="P13" i="1"/>
  <c r="R13" i="1" s="1"/>
  <c r="P14" i="1"/>
  <c r="R14" i="1" s="1"/>
  <c r="P15" i="1"/>
  <c r="R15" i="1" s="1"/>
  <c r="P16" i="1"/>
  <c r="R16" i="1" s="1"/>
  <c r="P17" i="1"/>
  <c r="R17" i="1" s="1"/>
  <c r="P18" i="1"/>
  <c r="R18" i="1" s="1"/>
  <c r="P19" i="1"/>
  <c r="R19" i="1" s="1"/>
  <c r="P20" i="1"/>
  <c r="R20" i="1" s="1"/>
  <c r="P21" i="1"/>
  <c r="R21" i="1" s="1"/>
  <c r="P22" i="1"/>
  <c r="R22" i="1" s="1"/>
  <c r="P23" i="1"/>
  <c r="R23" i="1" s="1"/>
  <c r="P24" i="1"/>
  <c r="R24" i="1" s="1"/>
  <c r="P25" i="1"/>
  <c r="R25" i="1" s="1"/>
  <c r="P26" i="1"/>
  <c r="R26" i="1" s="1"/>
  <c r="P27" i="1"/>
  <c r="R27" i="1" s="1"/>
  <c r="P28" i="1"/>
  <c r="R28" i="1" s="1"/>
  <c r="P29" i="1"/>
  <c r="R29" i="1" s="1"/>
  <c r="P30" i="1"/>
  <c r="R30" i="1" s="1"/>
  <c r="P31" i="1"/>
  <c r="R31" i="1" s="1"/>
  <c r="P32" i="1"/>
  <c r="R32" i="1" s="1"/>
  <c r="P33" i="1"/>
  <c r="R33" i="1" s="1"/>
  <c r="P34" i="1"/>
  <c r="R34" i="1" s="1"/>
  <c r="P35" i="1"/>
  <c r="R35" i="1" s="1"/>
  <c r="P36" i="1"/>
  <c r="R36" i="1" s="1"/>
  <c r="P37" i="1"/>
  <c r="R37" i="1" s="1"/>
  <c r="P38" i="1"/>
  <c r="R38" i="1" s="1"/>
  <c r="P39" i="1"/>
  <c r="R39" i="1" s="1"/>
  <c r="P40" i="1"/>
  <c r="R40" i="1" s="1"/>
  <c r="P41" i="1"/>
  <c r="R41" i="1" s="1"/>
  <c r="P42" i="1"/>
  <c r="R42" i="1" s="1"/>
  <c r="P43" i="1"/>
  <c r="R43" i="1" s="1"/>
  <c r="P44" i="1"/>
  <c r="R44" i="1" s="1"/>
  <c r="P45" i="1"/>
  <c r="R45" i="1" s="1"/>
  <c r="P46" i="1"/>
  <c r="R46" i="1" s="1"/>
  <c r="P47" i="1"/>
  <c r="R47" i="1" s="1"/>
  <c r="P48" i="1"/>
  <c r="R48" i="1" s="1"/>
  <c r="P49" i="1"/>
  <c r="R49" i="1" s="1"/>
  <c r="P50" i="1"/>
  <c r="R50" i="1" s="1"/>
  <c r="P51" i="1"/>
  <c r="R51" i="1" s="1"/>
  <c r="P52" i="1"/>
  <c r="R52" i="1" s="1"/>
  <c r="P53" i="1"/>
  <c r="R53" i="1" s="1"/>
  <c r="P54" i="1"/>
  <c r="R54" i="1" s="1"/>
  <c r="P55" i="1"/>
  <c r="R55" i="1" s="1"/>
  <c r="P56" i="1"/>
  <c r="R56" i="1" s="1"/>
  <c r="P57" i="1"/>
  <c r="R57" i="1" s="1"/>
  <c r="P58" i="1"/>
  <c r="R58" i="1" s="1"/>
  <c r="P59" i="1"/>
  <c r="R59" i="1" s="1"/>
  <c r="P60" i="1"/>
  <c r="R60" i="1" s="1"/>
  <c r="P61" i="1"/>
  <c r="R61" i="1" s="1"/>
  <c r="P62" i="1"/>
  <c r="R62" i="1" s="1"/>
  <c r="P63" i="1"/>
  <c r="R63" i="1" s="1"/>
  <c r="P64" i="1"/>
  <c r="R64" i="1" s="1"/>
  <c r="P65" i="1"/>
  <c r="R65" i="1" s="1"/>
  <c r="P66" i="1"/>
  <c r="R66" i="1" s="1"/>
  <c r="P67" i="1"/>
  <c r="R67" i="1" s="1"/>
  <c r="P68" i="1"/>
  <c r="R68" i="1" s="1"/>
  <c r="P69" i="1"/>
  <c r="R69" i="1" s="1"/>
  <c r="P70" i="1"/>
  <c r="R70" i="1" s="1"/>
  <c r="P71" i="1"/>
  <c r="R71" i="1" s="1"/>
  <c r="P72" i="1"/>
  <c r="R72" i="1" s="1"/>
  <c r="P73" i="1"/>
  <c r="R73" i="1" s="1"/>
  <c r="P74" i="1"/>
  <c r="R74" i="1" s="1"/>
  <c r="P75" i="1"/>
  <c r="R75" i="1" s="1"/>
  <c r="P76" i="1"/>
  <c r="R76" i="1" s="1"/>
  <c r="P77" i="1"/>
  <c r="R77" i="1" s="1"/>
  <c r="P78" i="1"/>
  <c r="R78" i="1" s="1"/>
  <c r="P79" i="1"/>
  <c r="R79" i="1" s="1"/>
  <c r="P80" i="1"/>
  <c r="R80" i="1" s="1"/>
  <c r="P81" i="1"/>
  <c r="R81" i="1" s="1"/>
  <c r="P82" i="1"/>
  <c r="R82" i="1" s="1"/>
  <c r="P83" i="1"/>
  <c r="R83" i="1" s="1"/>
  <c r="P84" i="1"/>
  <c r="R84" i="1" s="1"/>
  <c r="P85" i="1"/>
  <c r="R85" i="1" s="1"/>
  <c r="P86" i="1"/>
  <c r="R86" i="1" s="1"/>
  <c r="P87" i="1"/>
  <c r="R87" i="1" s="1"/>
  <c r="P88" i="1"/>
  <c r="R88" i="1" s="1"/>
  <c r="P89" i="1"/>
  <c r="R89" i="1" s="1"/>
  <c r="P90" i="1"/>
  <c r="R90" i="1" s="1"/>
  <c r="P91" i="1"/>
  <c r="R91" i="1" s="1"/>
  <c r="P92" i="1"/>
  <c r="R92" i="1" s="1"/>
  <c r="P93" i="1"/>
  <c r="R93" i="1" s="1"/>
  <c r="P94" i="1"/>
  <c r="R94" i="1" s="1"/>
  <c r="P95" i="1"/>
  <c r="R95" i="1" s="1"/>
  <c r="P96" i="1"/>
  <c r="R96" i="1" s="1"/>
  <c r="P97" i="1"/>
  <c r="R97" i="1" s="1"/>
  <c r="P98" i="1"/>
  <c r="R98" i="1" s="1"/>
  <c r="P99" i="1"/>
  <c r="R99" i="1" s="1"/>
  <c r="P100" i="1"/>
  <c r="R100" i="1" s="1"/>
  <c r="P101" i="1"/>
  <c r="R101" i="1" s="1"/>
  <c r="P102" i="1"/>
  <c r="R102" i="1" s="1"/>
  <c r="P103" i="1"/>
  <c r="R103" i="1" s="1"/>
  <c r="P104" i="1"/>
  <c r="R104" i="1" s="1"/>
  <c r="P105" i="1"/>
  <c r="R105" i="1" s="1"/>
  <c r="P106" i="1"/>
  <c r="R106" i="1" s="1"/>
  <c r="P107" i="1"/>
  <c r="R107" i="1" s="1"/>
  <c r="P108" i="1"/>
  <c r="R108" i="1" s="1"/>
  <c r="P109" i="1"/>
  <c r="R109" i="1" s="1"/>
  <c r="P110" i="1"/>
  <c r="R110" i="1" s="1"/>
  <c r="P111" i="1"/>
  <c r="R111" i="1" s="1"/>
  <c r="P112" i="1"/>
  <c r="R112" i="1" s="1"/>
  <c r="P113" i="1"/>
  <c r="R113" i="1" s="1"/>
  <c r="P114" i="1"/>
  <c r="R114" i="1" s="1"/>
  <c r="P115" i="1"/>
  <c r="R115" i="1" s="1"/>
  <c r="P116" i="1"/>
  <c r="R116" i="1" s="1"/>
  <c r="P117" i="1"/>
  <c r="R117" i="1" s="1"/>
  <c r="P118" i="1"/>
  <c r="R118" i="1" s="1"/>
  <c r="P119" i="1"/>
  <c r="R119" i="1" s="1"/>
  <c r="P120" i="1"/>
  <c r="R120" i="1" s="1"/>
  <c r="P121" i="1"/>
  <c r="R121" i="1" s="1"/>
  <c r="P122" i="1"/>
  <c r="R122" i="1" s="1"/>
  <c r="P123" i="1"/>
  <c r="R123" i="1" s="1"/>
  <c r="P124" i="1"/>
  <c r="R124" i="1" s="1"/>
  <c r="P125" i="1"/>
  <c r="R125" i="1" s="1"/>
  <c r="P126" i="1"/>
  <c r="R126" i="1" s="1"/>
  <c r="P127" i="1"/>
  <c r="R127" i="1" s="1"/>
  <c r="P128" i="1"/>
  <c r="R128" i="1" s="1"/>
  <c r="P129" i="1"/>
  <c r="R129" i="1" s="1"/>
  <c r="P130" i="1"/>
  <c r="R130" i="1" s="1"/>
  <c r="P131" i="1"/>
  <c r="R131" i="1" s="1"/>
  <c r="P132" i="1"/>
  <c r="R132" i="1" s="1"/>
  <c r="P133" i="1"/>
  <c r="R133" i="1" s="1"/>
  <c r="P134" i="1"/>
  <c r="R134" i="1" s="1"/>
  <c r="P135" i="1"/>
  <c r="R135" i="1" s="1"/>
  <c r="P136" i="1"/>
  <c r="R136" i="1" s="1"/>
  <c r="P137" i="1"/>
  <c r="R137" i="1" s="1"/>
  <c r="P138" i="1"/>
  <c r="R138" i="1" s="1"/>
  <c r="P139" i="1"/>
  <c r="R139" i="1" s="1"/>
  <c r="P140" i="1"/>
  <c r="R140" i="1" s="1"/>
  <c r="P141" i="1"/>
  <c r="R141" i="1" s="1"/>
  <c r="P142" i="1"/>
  <c r="R142" i="1" s="1"/>
  <c r="P143" i="1"/>
  <c r="R143" i="1" s="1"/>
  <c r="P144" i="1"/>
  <c r="R144" i="1" s="1"/>
  <c r="P145" i="1"/>
  <c r="R145" i="1" s="1"/>
  <c r="P146" i="1"/>
  <c r="R146" i="1" s="1"/>
  <c r="P147" i="1"/>
  <c r="R147" i="1" s="1"/>
  <c r="P148" i="1"/>
  <c r="R148" i="1" s="1"/>
  <c r="P149" i="1"/>
  <c r="R149" i="1" s="1"/>
  <c r="P150" i="1"/>
  <c r="R150" i="1" s="1"/>
  <c r="P151" i="1"/>
  <c r="R151" i="1" s="1"/>
  <c r="P152" i="1"/>
  <c r="R152" i="1" s="1"/>
  <c r="P153" i="1"/>
  <c r="R153" i="1" s="1"/>
  <c r="P154" i="1"/>
  <c r="R154" i="1" s="1"/>
  <c r="P155" i="1"/>
  <c r="R155" i="1" s="1"/>
  <c r="P156" i="1"/>
  <c r="R156" i="1" s="1"/>
  <c r="P157" i="1"/>
  <c r="R157" i="1" s="1"/>
  <c r="P158" i="1"/>
  <c r="R158" i="1" s="1"/>
  <c r="P159" i="1"/>
  <c r="R159" i="1" s="1"/>
  <c r="P160" i="1"/>
  <c r="R160" i="1" s="1"/>
  <c r="P161" i="1"/>
  <c r="R161" i="1" s="1"/>
  <c r="P162" i="1"/>
  <c r="R162" i="1" s="1"/>
  <c r="P163" i="1"/>
  <c r="R163" i="1" s="1"/>
  <c r="P164" i="1"/>
  <c r="R164" i="1" s="1"/>
  <c r="P165" i="1"/>
  <c r="R165" i="1" s="1"/>
  <c r="P166" i="1"/>
  <c r="R166" i="1" s="1"/>
  <c r="P167" i="1"/>
  <c r="R167" i="1" s="1"/>
  <c r="P168" i="1"/>
  <c r="R168" i="1" s="1"/>
  <c r="P169" i="1"/>
  <c r="R169" i="1" s="1"/>
  <c r="P170" i="1"/>
  <c r="R170" i="1" s="1"/>
  <c r="P171" i="1"/>
  <c r="R171" i="1" s="1"/>
  <c r="P172" i="1"/>
  <c r="R172" i="1" s="1"/>
  <c r="P173" i="1"/>
  <c r="R173" i="1" s="1"/>
  <c r="P174" i="1"/>
  <c r="R174" i="1" s="1"/>
  <c r="P175" i="1"/>
  <c r="R175" i="1" s="1"/>
  <c r="P176" i="1"/>
  <c r="R176" i="1" s="1"/>
  <c r="P177" i="1"/>
  <c r="R177" i="1" s="1"/>
  <c r="P178" i="1"/>
  <c r="R178" i="1" s="1"/>
  <c r="P179" i="1"/>
  <c r="R179" i="1" s="1"/>
  <c r="P180" i="1"/>
  <c r="R180" i="1" s="1"/>
  <c r="P181" i="1"/>
  <c r="R181" i="1" s="1"/>
  <c r="P182" i="1"/>
  <c r="R182" i="1" s="1"/>
  <c r="P183" i="1"/>
  <c r="R183" i="1" s="1"/>
  <c r="P184" i="1"/>
  <c r="R184" i="1" s="1"/>
  <c r="P185" i="1"/>
  <c r="R185" i="1" s="1"/>
  <c r="P186" i="1"/>
  <c r="R186" i="1" s="1"/>
  <c r="P187" i="1"/>
  <c r="R187" i="1" s="1"/>
  <c r="P188" i="1"/>
  <c r="R188" i="1" s="1"/>
  <c r="P189" i="1"/>
  <c r="R189" i="1" s="1"/>
  <c r="P190" i="1"/>
  <c r="R190" i="1" s="1"/>
  <c r="P191" i="1"/>
  <c r="R191" i="1" s="1"/>
  <c r="P192" i="1"/>
  <c r="R192" i="1" s="1"/>
  <c r="P193" i="1"/>
  <c r="R193" i="1" s="1"/>
  <c r="P194" i="1"/>
  <c r="R194" i="1" s="1"/>
  <c r="P195" i="1"/>
  <c r="R195" i="1" s="1"/>
  <c r="P196" i="1"/>
  <c r="R196" i="1" s="1"/>
  <c r="P197" i="1"/>
  <c r="R197" i="1" s="1"/>
  <c r="P198" i="1"/>
  <c r="R198" i="1" s="1"/>
  <c r="P199" i="1"/>
  <c r="R199" i="1" s="1"/>
  <c r="P200" i="1"/>
  <c r="R200" i="1" s="1"/>
  <c r="P201" i="1"/>
  <c r="R201" i="1" s="1"/>
  <c r="P202" i="1"/>
  <c r="R202" i="1" s="1"/>
  <c r="P203" i="1"/>
  <c r="R203" i="1" s="1"/>
  <c r="P204" i="1"/>
  <c r="R204" i="1" s="1"/>
  <c r="P205" i="1"/>
  <c r="R205" i="1" s="1"/>
  <c r="P206" i="1"/>
  <c r="R206" i="1" s="1"/>
  <c r="P207" i="1"/>
  <c r="R207" i="1" s="1"/>
  <c r="P208" i="1"/>
  <c r="R208" i="1" s="1"/>
  <c r="P209" i="1"/>
  <c r="R209" i="1" s="1"/>
  <c r="P210" i="1"/>
  <c r="R210" i="1" s="1"/>
  <c r="P211" i="1"/>
  <c r="R211" i="1" s="1"/>
  <c r="P212" i="1"/>
  <c r="R212" i="1" s="1"/>
  <c r="P213" i="1"/>
  <c r="R213" i="1" s="1"/>
  <c r="P214" i="1"/>
  <c r="R214" i="1" s="1"/>
  <c r="P215" i="1"/>
  <c r="R215" i="1" s="1"/>
  <c r="P216" i="1"/>
  <c r="R216" i="1" s="1"/>
  <c r="P217" i="1"/>
  <c r="R217" i="1" s="1"/>
  <c r="P218" i="1"/>
  <c r="R218" i="1" s="1"/>
  <c r="P219" i="1"/>
  <c r="R219" i="1" s="1"/>
  <c r="P220" i="1"/>
  <c r="R220" i="1" s="1"/>
  <c r="P221" i="1"/>
  <c r="R221" i="1" s="1"/>
  <c r="P222" i="1"/>
  <c r="R222" i="1" s="1"/>
  <c r="P223" i="1"/>
  <c r="R223" i="1" s="1"/>
  <c r="P224" i="1"/>
  <c r="R224" i="1" s="1"/>
  <c r="P225" i="1"/>
  <c r="R225" i="1" s="1"/>
  <c r="P226" i="1"/>
  <c r="R226" i="1" s="1"/>
  <c r="P227" i="1"/>
  <c r="R227" i="1" s="1"/>
  <c r="P228" i="1"/>
  <c r="R228" i="1" s="1"/>
  <c r="P229" i="1"/>
  <c r="R229" i="1" s="1"/>
  <c r="P230" i="1"/>
  <c r="R230" i="1" s="1"/>
  <c r="P231" i="1"/>
  <c r="R231" i="1" s="1"/>
  <c r="P232" i="1"/>
  <c r="R232" i="1" s="1"/>
  <c r="P233" i="1"/>
  <c r="R233" i="1" s="1"/>
  <c r="P234" i="1"/>
  <c r="R234" i="1" s="1"/>
  <c r="P235" i="1"/>
  <c r="R235" i="1" s="1"/>
  <c r="P236" i="1"/>
  <c r="R236" i="1" s="1"/>
  <c r="P237" i="1"/>
  <c r="R237" i="1" s="1"/>
  <c r="P238" i="1"/>
  <c r="R238" i="1" s="1"/>
  <c r="P239" i="1"/>
  <c r="R239" i="1" s="1"/>
  <c r="P240" i="1"/>
  <c r="R240" i="1" s="1"/>
  <c r="P241" i="1"/>
  <c r="R241" i="1" s="1"/>
  <c r="P242" i="1"/>
  <c r="R242" i="1" s="1"/>
  <c r="P243" i="1"/>
  <c r="R243" i="1" s="1"/>
  <c r="P244" i="1"/>
  <c r="R244" i="1" s="1"/>
  <c r="P245" i="1"/>
  <c r="R245" i="1" s="1"/>
  <c r="P246" i="1"/>
  <c r="R246" i="1" s="1"/>
  <c r="P247" i="1"/>
  <c r="R247" i="1" s="1"/>
  <c r="P248" i="1"/>
  <c r="R248" i="1" s="1"/>
  <c r="P249" i="1"/>
  <c r="R249" i="1" s="1"/>
  <c r="P250" i="1"/>
  <c r="R250" i="1" s="1"/>
  <c r="P251" i="1"/>
  <c r="R251" i="1" s="1"/>
  <c r="P252" i="1"/>
  <c r="R252" i="1" s="1"/>
  <c r="P253" i="1"/>
  <c r="R253" i="1" s="1"/>
  <c r="P254" i="1"/>
  <c r="R254" i="1" s="1"/>
  <c r="P255" i="1"/>
  <c r="R255" i="1" s="1"/>
  <c r="P256" i="1"/>
  <c r="R256" i="1" s="1"/>
  <c r="P257" i="1"/>
  <c r="R257" i="1" s="1"/>
  <c r="P258" i="1"/>
  <c r="R258" i="1" s="1"/>
  <c r="P259" i="1"/>
  <c r="R259" i="1" s="1"/>
  <c r="P260" i="1"/>
  <c r="R260" i="1" s="1"/>
  <c r="P261" i="1"/>
  <c r="R261" i="1" s="1"/>
  <c r="P262" i="1"/>
  <c r="R262" i="1" s="1"/>
  <c r="P263" i="1"/>
  <c r="R263" i="1" s="1"/>
  <c r="P264" i="1"/>
  <c r="R264" i="1" s="1"/>
  <c r="P265" i="1"/>
  <c r="R265" i="1" s="1"/>
  <c r="P266" i="1"/>
  <c r="R266" i="1" s="1"/>
  <c r="P267" i="1"/>
  <c r="R267" i="1" s="1"/>
  <c r="P268" i="1"/>
  <c r="R268" i="1" s="1"/>
  <c r="P269" i="1"/>
  <c r="R269" i="1" s="1"/>
  <c r="P270" i="1"/>
  <c r="R270" i="1" s="1"/>
  <c r="P271" i="1"/>
  <c r="R271" i="1" s="1"/>
  <c r="P272" i="1"/>
  <c r="R272" i="1" s="1"/>
  <c r="P273" i="1"/>
  <c r="R273" i="1" s="1"/>
  <c r="P274" i="1"/>
  <c r="R274" i="1" s="1"/>
  <c r="P275" i="1"/>
  <c r="R275" i="1" s="1"/>
  <c r="P276" i="1"/>
  <c r="R276" i="1" s="1"/>
  <c r="P277" i="1"/>
  <c r="R277" i="1" s="1"/>
  <c r="P278" i="1"/>
  <c r="R278" i="1" s="1"/>
  <c r="P279" i="1"/>
  <c r="R279" i="1" s="1"/>
  <c r="P280" i="1"/>
  <c r="R280" i="1" s="1"/>
  <c r="P281" i="1"/>
  <c r="R281" i="1" s="1"/>
  <c r="P282" i="1"/>
  <c r="R282" i="1" s="1"/>
  <c r="P283" i="1"/>
  <c r="R283" i="1" s="1"/>
  <c r="P284" i="1"/>
  <c r="R284" i="1" s="1"/>
  <c r="P285" i="1"/>
  <c r="R285" i="1" s="1"/>
  <c r="P286" i="1"/>
  <c r="R286" i="1" s="1"/>
  <c r="P287" i="1"/>
  <c r="R287" i="1" s="1"/>
  <c r="P288" i="1"/>
  <c r="R288" i="1" s="1"/>
  <c r="P289" i="1"/>
  <c r="R289" i="1" s="1"/>
  <c r="P290" i="1"/>
  <c r="R290" i="1" s="1"/>
  <c r="P291" i="1"/>
  <c r="R291" i="1" s="1"/>
  <c r="P292" i="1"/>
  <c r="R292" i="1" s="1"/>
  <c r="P293" i="1"/>
  <c r="R293" i="1" s="1"/>
  <c r="P294" i="1"/>
  <c r="R294" i="1" s="1"/>
  <c r="P295" i="1"/>
  <c r="R295" i="1" s="1"/>
  <c r="P296" i="1"/>
  <c r="R296" i="1" s="1"/>
  <c r="P297" i="1"/>
  <c r="R297" i="1" s="1"/>
  <c r="P298" i="1"/>
  <c r="R298" i="1" s="1"/>
  <c r="P299" i="1"/>
  <c r="R299" i="1" s="1"/>
  <c r="P300" i="1"/>
  <c r="R300" i="1" s="1"/>
  <c r="P301" i="1"/>
  <c r="R301" i="1" s="1"/>
  <c r="P302" i="1"/>
  <c r="R302" i="1" s="1"/>
  <c r="P303" i="1"/>
  <c r="R303" i="1" s="1"/>
  <c r="P304" i="1"/>
  <c r="R304" i="1" s="1"/>
  <c r="P305" i="1"/>
  <c r="R305" i="1" s="1"/>
  <c r="P306" i="1"/>
  <c r="R306" i="1" s="1"/>
  <c r="P307" i="1"/>
  <c r="R307" i="1" s="1"/>
  <c r="P308" i="1"/>
  <c r="R308" i="1" s="1"/>
  <c r="P309" i="1"/>
  <c r="R309" i="1" s="1"/>
  <c r="P310" i="1"/>
  <c r="R310" i="1" s="1"/>
  <c r="P311" i="1"/>
  <c r="R311" i="1" s="1"/>
  <c r="P312" i="1"/>
  <c r="R312" i="1" s="1"/>
  <c r="P313" i="1"/>
  <c r="R313" i="1" s="1"/>
  <c r="P314" i="1"/>
  <c r="R314" i="1" s="1"/>
  <c r="P315" i="1"/>
  <c r="R315" i="1" s="1"/>
  <c r="P316" i="1"/>
  <c r="R316" i="1" s="1"/>
  <c r="P317" i="1"/>
  <c r="R317" i="1" s="1"/>
  <c r="P318" i="1"/>
  <c r="R318" i="1" s="1"/>
  <c r="P319" i="1"/>
  <c r="R319" i="1" s="1"/>
  <c r="P320" i="1"/>
  <c r="R320" i="1" s="1"/>
  <c r="P321" i="1"/>
  <c r="R321" i="1" s="1"/>
  <c r="P322" i="1"/>
  <c r="R322" i="1" s="1"/>
  <c r="P323" i="1"/>
  <c r="R323" i="1" s="1"/>
  <c r="P324" i="1"/>
  <c r="R324" i="1" s="1"/>
  <c r="P325" i="1"/>
  <c r="R325" i="1" s="1"/>
  <c r="P326" i="1"/>
  <c r="R326" i="1" s="1"/>
  <c r="P327" i="1"/>
  <c r="R327" i="1" s="1"/>
  <c r="P328" i="1"/>
  <c r="R328" i="1" s="1"/>
  <c r="P329" i="1"/>
  <c r="R329" i="1" s="1"/>
  <c r="P330" i="1"/>
  <c r="R330" i="1" s="1"/>
  <c r="P331" i="1"/>
  <c r="R331" i="1" s="1"/>
  <c r="P332" i="1"/>
  <c r="R332" i="1" s="1"/>
  <c r="P333" i="1"/>
  <c r="R333" i="1" s="1"/>
  <c r="P334" i="1"/>
  <c r="R334" i="1" s="1"/>
  <c r="P335" i="1"/>
  <c r="R335" i="1" s="1"/>
  <c r="P336" i="1"/>
  <c r="R336" i="1" s="1"/>
  <c r="P337" i="1"/>
  <c r="R337" i="1" s="1"/>
  <c r="P338" i="1"/>
  <c r="R338" i="1" s="1"/>
  <c r="P339" i="1"/>
  <c r="R339" i="1" s="1"/>
  <c r="P340" i="1"/>
  <c r="R340" i="1" s="1"/>
  <c r="P341" i="1"/>
  <c r="R341" i="1" s="1"/>
  <c r="P342" i="1"/>
  <c r="R342" i="1" s="1"/>
  <c r="P343" i="1"/>
  <c r="R343" i="1" s="1"/>
  <c r="P344" i="1"/>
  <c r="R344" i="1" s="1"/>
  <c r="P345" i="1"/>
  <c r="R345" i="1" s="1"/>
  <c r="P346" i="1"/>
  <c r="R346" i="1" s="1"/>
  <c r="P347" i="1"/>
  <c r="R347" i="1" s="1"/>
  <c r="P348" i="1"/>
  <c r="R348" i="1" s="1"/>
  <c r="P349" i="1"/>
  <c r="R349" i="1" s="1"/>
  <c r="P350" i="1"/>
  <c r="R350" i="1" s="1"/>
  <c r="P351" i="1"/>
  <c r="R351" i="1" s="1"/>
  <c r="P352" i="1"/>
  <c r="R352" i="1" s="1"/>
  <c r="P353" i="1"/>
  <c r="R353" i="1" s="1"/>
  <c r="P354" i="1"/>
  <c r="R354" i="1" s="1"/>
  <c r="P355" i="1"/>
  <c r="R355" i="1" s="1"/>
  <c r="P356" i="1"/>
  <c r="R356" i="1" s="1"/>
  <c r="P357" i="1"/>
  <c r="R357" i="1" s="1"/>
  <c r="P358" i="1"/>
  <c r="R358" i="1" s="1"/>
  <c r="P359" i="1"/>
  <c r="R359" i="1" s="1"/>
  <c r="P360" i="1"/>
  <c r="R360" i="1" s="1"/>
  <c r="P361" i="1"/>
  <c r="R361" i="1" s="1"/>
  <c r="P362" i="1"/>
  <c r="R362" i="1" s="1"/>
  <c r="P363" i="1"/>
  <c r="R363" i="1" s="1"/>
  <c r="P364" i="1"/>
  <c r="R364" i="1" s="1"/>
  <c r="P365" i="1"/>
  <c r="R365" i="1" s="1"/>
  <c r="P366" i="1"/>
  <c r="R366" i="1" s="1"/>
  <c r="P367" i="1"/>
  <c r="R367" i="1" s="1"/>
  <c r="P368" i="1"/>
  <c r="R368" i="1" s="1"/>
  <c r="P369" i="1"/>
  <c r="R369" i="1" s="1"/>
  <c r="P370" i="1"/>
  <c r="R370" i="1" s="1"/>
  <c r="P371" i="1"/>
  <c r="R371" i="1" s="1"/>
  <c r="P372" i="1"/>
  <c r="R372" i="1" s="1"/>
  <c r="P373" i="1"/>
  <c r="R373" i="1" s="1"/>
  <c r="P374" i="1"/>
  <c r="R374" i="1" s="1"/>
  <c r="P375" i="1"/>
  <c r="R375" i="1" s="1"/>
  <c r="P376" i="1"/>
  <c r="R376" i="1" s="1"/>
  <c r="P377" i="1"/>
  <c r="R377" i="1" s="1"/>
  <c r="P378" i="1"/>
  <c r="R378" i="1" s="1"/>
  <c r="P379" i="1"/>
  <c r="R379" i="1" s="1"/>
  <c r="P380" i="1"/>
  <c r="R380" i="1" s="1"/>
  <c r="P381" i="1"/>
  <c r="R381" i="1" s="1"/>
  <c r="P382" i="1"/>
  <c r="R382" i="1" s="1"/>
  <c r="P383" i="1"/>
  <c r="R383" i="1" s="1"/>
  <c r="P384" i="1"/>
  <c r="R384" i="1" s="1"/>
  <c r="P385" i="1"/>
  <c r="R385" i="1" s="1"/>
  <c r="P386" i="1"/>
  <c r="R386" i="1" s="1"/>
  <c r="P387" i="1"/>
  <c r="R387" i="1" s="1"/>
  <c r="P388" i="1"/>
  <c r="R388" i="1" s="1"/>
  <c r="P389" i="1"/>
  <c r="R389" i="1" s="1"/>
  <c r="P390" i="1"/>
  <c r="R390" i="1" s="1"/>
  <c r="P391" i="1"/>
  <c r="R391" i="1" s="1"/>
  <c r="P392" i="1"/>
  <c r="R392" i="1" s="1"/>
  <c r="P393" i="1"/>
  <c r="R393" i="1" s="1"/>
  <c r="P394" i="1"/>
  <c r="R394" i="1" s="1"/>
  <c r="P395" i="1"/>
  <c r="R395" i="1" s="1"/>
  <c r="P396" i="1"/>
  <c r="R396" i="1" s="1"/>
  <c r="P397" i="1"/>
  <c r="R397" i="1" s="1"/>
  <c r="P2" i="1"/>
  <c r="R2" i="1" s="1"/>
  <c r="T190" i="1" l="1"/>
  <c r="T54" i="1"/>
  <c r="T395" i="1"/>
  <c r="T387" i="1"/>
  <c r="T379" i="1"/>
  <c r="T371" i="1"/>
  <c r="T363" i="1"/>
  <c r="T355" i="1"/>
  <c r="T347" i="1"/>
  <c r="T339" i="1"/>
  <c r="T331" i="1"/>
  <c r="T323" i="1"/>
  <c r="T315" i="1"/>
  <c r="T299" i="1"/>
  <c r="T291" i="1"/>
  <c r="T283" i="1"/>
  <c r="T275" i="1"/>
  <c r="T267" i="1"/>
  <c r="T259" i="1"/>
  <c r="T251" i="1"/>
  <c r="T243" i="1"/>
  <c r="T235" i="1"/>
  <c r="T219" i="1"/>
  <c r="T211" i="1"/>
  <c r="T203" i="1"/>
  <c r="T195" i="1"/>
  <c r="T187" i="1"/>
  <c r="T179" i="1"/>
  <c r="T171" i="1"/>
  <c r="T163" i="1"/>
  <c r="T155" i="1"/>
  <c r="T147" i="1"/>
  <c r="T139" i="1"/>
  <c r="T131" i="1"/>
  <c r="T123" i="1"/>
  <c r="T115" i="1"/>
  <c r="T107" i="1"/>
  <c r="T99" i="1"/>
  <c r="T83" i="1"/>
  <c r="T75" i="1"/>
  <c r="T67" i="1"/>
  <c r="T59" i="1"/>
  <c r="T51" i="1"/>
  <c r="T43" i="1"/>
  <c r="T35" i="1"/>
  <c r="T27" i="1"/>
  <c r="T393" i="1"/>
  <c r="T385" i="1"/>
  <c r="T377" i="1"/>
  <c r="T361" i="1"/>
  <c r="T353" i="1"/>
  <c r="T345" i="1"/>
  <c r="T337" i="1"/>
  <c r="T329" i="1"/>
  <c r="T313" i="1"/>
  <c r="T305" i="1"/>
  <c r="T297" i="1"/>
  <c r="T289" i="1"/>
  <c r="T281" i="1"/>
  <c r="T273" i="1"/>
  <c r="T265" i="1"/>
  <c r="T257" i="1"/>
  <c r="T249" i="1"/>
  <c r="T241" i="1"/>
  <c r="T233" i="1"/>
  <c r="T225" i="1"/>
  <c r="T217" i="1"/>
  <c r="T201" i="1"/>
  <c r="T193" i="1"/>
  <c r="T185" i="1"/>
  <c r="T177" i="1"/>
  <c r="T169" i="1"/>
  <c r="T161" i="1"/>
  <c r="T153" i="1"/>
  <c r="T145" i="1"/>
  <c r="T137" i="1"/>
  <c r="T129" i="1"/>
  <c r="T121" i="1"/>
  <c r="T113" i="1"/>
  <c r="T105" i="1"/>
  <c r="T97" i="1"/>
  <c r="T89" i="1"/>
  <c r="T81" i="1"/>
  <c r="T73" i="1"/>
  <c r="T65" i="1"/>
  <c r="T57" i="1"/>
  <c r="T9" i="1"/>
  <c r="T392" i="1"/>
  <c r="T384" i="1"/>
  <c r="T376" i="1"/>
  <c r="T368" i="1"/>
  <c r="T352" i="1"/>
  <c r="T344" i="1"/>
  <c r="T336" i="1"/>
  <c r="T328" i="1"/>
  <c r="T320" i="1"/>
  <c r="T312" i="1"/>
  <c r="T304" i="1"/>
  <c r="T288" i="1"/>
  <c r="T280" i="1"/>
  <c r="T272" i="1"/>
  <c r="T256" i="1"/>
  <c r="T248" i="1"/>
  <c r="T240" i="1"/>
  <c r="T232" i="1"/>
  <c r="T224" i="1"/>
  <c r="T216" i="1"/>
  <c r="T208" i="1"/>
  <c r="T200" i="1"/>
  <c r="T192" i="1"/>
  <c r="T184" i="1"/>
  <c r="T176" i="1"/>
  <c r="T168" i="1"/>
  <c r="T160" i="1"/>
  <c r="T152" i="1"/>
  <c r="T136" i="1"/>
  <c r="T128" i="1"/>
  <c r="T120" i="1"/>
  <c r="T112" i="1"/>
  <c r="T104" i="1"/>
  <c r="T96" i="1"/>
  <c r="T88" i="1"/>
  <c r="T80" i="1"/>
  <c r="T64" i="1"/>
  <c r="T391" i="1"/>
  <c r="T383" i="1"/>
  <c r="T375" i="1"/>
  <c r="T367" i="1"/>
  <c r="T359" i="1"/>
  <c r="T351" i="1"/>
  <c r="T343" i="1"/>
  <c r="T327" i="1"/>
  <c r="T319" i="1"/>
  <c r="T311" i="1"/>
  <c r="T303" i="1"/>
  <c r="T295" i="1"/>
  <c r="T287" i="1"/>
  <c r="T279" i="1"/>
  <c r="T271" i="1"/>
  <c r="T263" i="1"/>
  <c r="T255" i="1"/>
  <c r="T247" i="1"/>
  <c r="T239" i="1"/>
  <c r="T231" i="1"/>
  <c r="T223" i="1"/>
  <c r="T215" i="1"/>
  <c r="T207" i="1"/>
  <c r="T199" i="1"/>
  <c r="T191" i="1"/>
  <c r="T183" i="1"/>
  <c r="T175" i="1"/>
  <c r="T167" i="1"/>
  <c r="T159" i="1"/>
  <c r="T151" i="1"/>
  <c r="T143" i="1"/>
  <c r="T135" i="1"/>
  <c r="T127" i="1"/>
  <c r="T119" i="1"/>
  <c r="T2" i="1"/>
  <c r="U2" i="1" s="1"/>
  <c r="U3" i="1" s="1"/>
  <c r="U4" i="1" s="1"/>
  <c r="T390" i="1"/>
  <c r="T382" i="1"/>
  <c r="T374" i="1"/>
  <c r="T366" i="1"/>
  <c r="T358" i="1"/>
  <c r="T350" i="1"/>
  <c r="T342" i="1"/>
  <c r="T334" i="1"/>
  <c r="T326" i="1"/>
  <c r="T318" i="1"/>
  <c r="T310" i="1"/>
  <c r="T302" i="1"/>
  <c r="T294" i="1"/>
  <c r="T286" i="1"/>
  <c r="T278" i="1"/>
  <c r="T270" i="1"/>
  <c r="T262" i="1"/>
  <c r="T254" i="1"/>
  <c r="T246" i="1"/>
  <c r="T238" i="1"/>
  <c r="T230" i="1"/>
  <c r="T222" i="1"/>
  <c r="T214" i="1"/>
  <c r="T206" i="1"/>
  <c r="T198" i="1"/>
  <c r="T182" i="1"/>
  <c r="T174" i="1"/>
  <c r="T166" i="1"/>
  <c r="T158" i="1"/>
  <c r="T150" i="1"/>
  <c r="T142" i="1"/>
  <c r="T134" i="1"/>
  <c r="T126" i="1"/>
  <c r="T118" i="1"/>
  <c r="T110" i="1"/>
  <c r="T102" i="1"/>
  <c r="T94" i="1"/>
  <c r="T86" i="1"/>
  <c r="T78" i="1"/>
  <c r="T70" i="1"/>
  <c r="T62" i="1"/>
  <c r="T46" i="1"/>
  <c r="T38" i="1"/>
  <c r="T30" i="1"/>
  <c r="T22" i="1"/>
  <c r="T14" i="1"/>
  <c r="T397" i="1"/>
  <c r="T389" i="1"/>
  <c r="T381" i="1"/>
  <c r="T373" i="1"/>
  <c r="T365" i="1"/>
  <c r="T357" i="1"/>
  <c r="T349" i="1"/>
  <c r="T341" i="1"/>
  <c r="T333" i="1"/>
  <c r="T325" i="1"/>
  <c r="T317" i="1"/>
  <c r="T309" i="1"/>
  <c r="T301" i="1"/>
  <c r="T293" i="1"/>
  <c r="T285" i="1"/>
  <c r="T277" i="1"/>
  <c r="T269" i="1"/>
  <c r="T261" i="1"/>
  <c r="T253" i="1"/>
  <c r="T237" i="1"/>
  <c r="T229" i="1"/>
  <c r="T221" i="1"/>
  <c r="T213" i="1"/>
  <c r="T205" i="1"/>
  <c r="T197" i="1"/>
  <c r="T189" i="1"/>
  <c r="T181" i="1"/>
  <c r="T173" i="1"/>
  <c r="T165" i="1"/>
  <c r="T157" i="1"/>
  <c r="T149" i="1"/>
  <c r="T141" i="1"/>
  <c r="T133" i="1"/>
  <c r="T125" i="1"/>
  <c r="T109" i="1"/>
  <c r="T101" i="1"/>
  <c r="T93" i="1"/>
  <c r="T85" i="1"/>
  <c r="T77" i="1"/>
  <c r="T69" i="1"/>
  <c r="T61" i="1"/>
  <c r="T53" i="1"/>
  <c r="T45" i="1"/>
  <c r="T37" i="1"/>
  <c r="T29" i="1"/>
  <c r="T21" i="1"/>
  <c r="T396" i="1"/>
  <c r="T388" i="1"/>
  <c r="T380" i="1"/>
  <c r="T372" i="1"/>
  <c r="T364" i="1"/>
  <c r="T356" i="1"/>
  <c r="T348" i="1"/>
  <c r="T340" i="1"/>
  <c r="T332" i="1"/>
  <c r="T324" i="1"/>
  <c r="T316" i="1"/>
  <c r="T308" i="1"/>
  <c r="T300" i="1"/>
  <c r="T292" i="1"/>
  <c r="T284" i="1"/>
  <c r="T276" i="1"/>
  <c r="T268" i="1"/>
  <c r="T260" i="1"/>
  <c r="T252" i="1"/>
  <c r="T244" i="1"/>
  <c r="T236" i="1"/>
  <c r="T228" i="1"/>
  <c r="T220" i="1"/>
  <c r="T212" i="1"/>
  <c r="T204" i="1"/>
  <c r="T196" i="1"/>
  <c r="T188" i="1"/>
  <c r="T180" i="1"/>
  <c r="T172" i="1"/>
  <c r="T156" i="1"/>
  <c r="T148" i="1"/>
  <c r="T140" i="1"/>
  <c r="T132" i="1"/>
  <c r="T124" i="1"/>
  <c r="T116" i="1"/>
  <c r="T108" i="1"/>
  <c r="T100" i="1"/>
  <c r="T92" i="1"/>
  <c r="T84" i="1"/>
  <c r="T76" i="1"/>
  <c r="T68" i="1"/>
  <c r="T60" i="1"/>
  <c r="T52" i="1"/>
  <c r="T44" i="1"/>
  <c r="T36" i="1"/>
  <c r="T28" i="1"/>
  <c r="T19" i="1"/>
  <c r="T11" i="1"/>
  <c r="T3" i="1"/>
  <c r="T49" i="1"/>
  <c r="T41" i="1"/>
  <c r="T33" i="1"/>
  <c r="T25" i="1"/>
  <c r="T17" i="1"/>
  <c r="T72" i="1"/>
  <c r="T56" i="1"/>
  <c r="T48" i="1"/>
  <c r="T40" i="1"/>
  <c r="T32" i="1"/>
  <c r="T24" i="1"/>
  <c r="T16" i="1"/>
  <c r="T8" i="1"/>
  <c r="T111" i="1"/>
  <c r="T103" i="1"/>
  <c r="T95" i="1"/>
  <c r="T87" i="1"/>
  <c r="T79" i="1"/>
  <c r="T71" i="1"/>
  <c r="T63" i="1"/>
  <c r="T55" i="1"/>
  <c r="T47" i="1"/>
  <c r="T39" i="1"/>
  <c r="T31" i="1"/>
  <c r="T23" i="1"/>
  <c r="T15" i="1"/>
  <c r="T7" i="1"/>
  <c r="T6" i="1"/>
  <c r="T13" i="1"/>
  <c r="T5" i="1"/>
  <c r="T20" i="1"/>
  <c r="T12" i="1"/>
  <c r="T4" i="1"/>
  <c r="U5" i="1" l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</calcChain>
</file>

<file path=xl/sharedStrings.xml><?xml version="1.0" encoding="utf-8"?>
<sst xmlns="http://schemas.openxmlformats.org/spreadsheetml/2006/main" count="1617" uniqueCount="823">
  <si>
    <t>Date</t>
  </si>
  <si>
    <t>Ref Price</t>
  </si>
  <si>
    <t>CE Strike</t>
  </si>
  <si>
    <t>CE Entry</t>
  </si>
  <si>
    <t>CE SL Level</t>
  </si>
  <si>
    <t>CE Exit</t>
  </si>
  <si>
    <t>CE PnL</t>
  </si>
  <si>
    <t>PE Strike</t>
  </si>
  <si>
    <t>PE Entry</t>
  </si>
  <si>
    <t>PE SL Level</t>
  </si>
  <si>
    <t>PE Exit</t>
  </si>
  <si>
    <t>PE PnL</t>
  </si>
  <si>
    <t>Total PnL</t>
  </si>
  <si>
    <t>CE Status</t>
  </si>
  <si>
    <t>PE Status</t>
  </si>
  <si>
    <t>C-BTC-97600-010125</t>
  </si>
  <si>
    <t>P-BTC-90400-010125</t>
  </si>
  <si>
    <t>TP Hit</t>
  </si>
  <si>
    <t>C-BTC-96000-020125</t>
  </si>
  <si>
    <t>P-BTC-91400-020125</t>
  </si>
  <si>
    <t>SL Hit</t>
  </si>
  <si>
    <t>C-BTC-99000-030125</t>
  </si>
  <si>
    <t>P-BTC-95000-030125</t>
  </si>
  <si>
    <t>C-BTC-101200-040125</t>
  </si>
  <si>
    <t>P-BTC-96000-040125</t>
  </si>
  <si>
    <t>C-BTC-99600-050125</t>
  </si>
  <si>
    <t>P-BTC-97000-050125</t>
  </si>
  <si>
    <t>C-BTC-99400-060125</t>
  </si>
  <si>
    <t>P-BTC-95800-060125</t>
  </si>
  <si>
    <t>C-BTC-104800-070125</t>
  </si>
  <si>
    <t>P-BTC-99000-070125</t>
  </si>
  <si>
    <t>C-BTC-98600-080125</t>
  </si>
  <si>
    <t>P-BTC-94400-080125</t>
  </si>
  <si>
    <t>C-BTC-98000-090125</t>
  </si>
  <si>
    <t>P-BTC-92000-090125</t>
  </si>
  <si>
    <t>C-BTC-96000-100125</t>
  </si>
  <si>
    <t>P-BTC-89000-100125</t>
  </si>
  <si>
    <t>C-BTC-97000-110125</t>
  </si>
  <si>
    <t>P-BTC-91400-110125</t>
  </si>
  <si>
    <t>C-BTC-95800-120125</t>
  </si>
  <si>
    <t>P-BTC-92800-120125</t>
  </si>
  <si>
    <t>C-BTC-96000-130125</t>
  </si>
  <si>
    <t>P-BTC-92200-130125</t>
  </si>
  <si>
    <t>C-BTC-94000-140125</t>
  </si>
  <si>
    <t>P-BTC-89200-140125</t>
  </si>
  <si>
    <t>C-BTC-100000-150125</t>
  </si>
  <si>
    <t>P-BTC-92600-150125</t>
  </si>
  <si>
    <t>C-BTC-102000-160125</t>
  </si>
  <si>
    <t>P-BTC-97000-160125</t>
  </si>
  <si>
    <t>C-BTC-100000-170125</t>
  </si>
  <si>
    <t>P-BTC-97000-170125</t>
  </si>
  <si>
    <t>C-BTC-107200-180125</t>
  </si>
  <si>
    <t>P-BTC-102000-180125</t>
  </si>
  <si>
    <t>C-BTC-106800-190125</t>
  </si>
  <si>
    <t>P-BTC-102000-190125</t>
  </si>
  <si>
    <t>C-BTC-110000-200125</t>
  </si>
  <si>
    <t>P-BTC-102000-200125</t>
  </si>
  <si>
    <t>C-BTC-111200-210125</t>
  </si>
  <si>
    <t>P-BTC-96000-210125</t>
  </si>
  <si>
    <t>C-BTC-113600-220125</t>
  </si>
  <si>
    <t>P-BTC-100000-220125</t>
  </si>
  <si>
    <t>C-BTC-109200-230125</t>
  </si>
  <si>
    <t>P-BTC-100400-230125</t>
  </si>
  <si>
    <t>C-BTC-113000-240125</t>
  </si>
  <si>
    <t>P-BTC-103000-240125</t>
  </si>
  <si>
    <t>C-BTC-110000-250125</t>
  </si>
  <si>
    <t>P-BTC-103000-250125</t>
  </si>
  <si>
    <t>C-BTC-107200-260125</t>
  </si>
  <si>
    <t>P-BTC-103000-260125</t>
  </si>
  <si>
    <t>C-BTC-109200-270125</t>
  </si>
  <si>
    <t>P-BTC-104000-270125</t>
  </si>
  <si>
    <t>C-BTC-105600-280125</t>
  </si>
  <si>
    <t>P-BTC-95600-280125</t>
  </si>
  <si>
    <t>C-BTC-104400-290125</t>
  </si>
  <si>
    <t>P-BTC-98000-290125</t>
  </si>
  <si>
    <t>C-BTC-108000-300125</t>
  </si>
  <si>
    <t>P-BTC-96400-300125</t>
  </si>
  <si>
    <t>C-BTC-106600-310125</t>
  </si>
  <si>
    <t>P-BTC-100000-310125</t>
  </si>
  <si>
    <t>C-BTC-105800-010225</t>
  </si>
  <si>
    <t>P-BTC-98800-010225</t>
  </si>
  <si>
    <t>C-BTC-102800-020225</t>
  </si>
  <si>
    <t>P-BTC-101200-020225</t>
  </si>
  <si>
    <t>C-BTC-100000-030225</t>
  </si>
  <si>
    <t>P-BTC-94400-030225</t>
  </si>
  <si>
    <t>C-BTC-104400-040225</t>
  </si>
  <si>
    <t>P-BTC-94400-040225</t>
  </si>
  <si>
    <t>C-BTC-102000-050225</t>
  </si>
  <si>
    <t>P-BTC-94000-050225</t>
  </si>
  <si>
    <t>C-BTC-100800-060225</t>
  </si>
  <si>
    <t>P-BTC-92000-060225</t>
  </si>
  <si>
    <t>C-BTC-100000-070225</t>
  </si>
  <si>
    <t>P-BTC-92000-070225</t>
  </si>
  <si>
    <t>C-BTC-100000-080225</t>
  </si>
  <si>
    <t>P-BTC-94000-080225</t>
  </si>
  <si>
    <t>C-BTC-98200-090225</t>
  </si>
  <si>
    <t>P-BTC-95400-090225</t>
  </si>
  <si>
    <t>C-BTC-98800-100225</t>
  </si>
  <si>
    <t>P-BTC-95600-100225</t>
  </si>
  <si>
    <t>C-BTC-99600-110225</t>
  </si>
  <si>
    <t>P-BTC-94800-110225</t>
  </si>
  <si>
    <t>C-BTC-98600-120225</t>
  </si>
  <si>
    <t>P-BTC-92400-120225</t>
  </si>
  <si>
    <t>C-BTC-98400-130225</t>
  </si>
  <si>
    <t>P-BTC-94400-130225</t>
  </si>
  <si>
    <t>C-BTC-98000-140225</t>
  </si>
  <si>
    <t>P-BTC-93000-140225</t>
  </si>
  <si>
    <t>C-BTC-101200-150225</t>
  </si>
  <si>
    <t>P-BTC-96400-150225</t>
  </si>
  <si>
    <t>C-BTC-99000-160225</t>
  </si>
  <si>
    <t>P-BTC-96200-160225</t>
  </si>
  <si>
    <t>C-BTC-99000-170225</t>
  </si>
  <si>
    <t>P-BTC-94400-170225</t>
  </si>
  <si>
    <t>C-BTC-97600-180225</t>
  </si>
  <si>
    <t>P-BTC-94800-180225</t>
  </si>
  <si>
    <t>C-BTC-97000-190225</t>
  </si>
  <si>
    <t>P-BTC-92000-190225</t>
  </si>
  <si>
    <t>C-BTC-97600-200225</t>
  </si>
  <si>
    <t>P-BTC-94400-200225</t>
  </si>
  <si>
    <t>C-BTC-99000-210225</t>
  </si>
  <si>
    <t>P-BTC-96800-210225</t>
  </si>
  <si>
    <t>C-BTC-99000-220225</t>
  </si>
  <si>
    <t>P-BTC-92800-220225</t>
  </si>
  <si>
    <t>C-BTC-96800-230225</t>
  </si>
  <si>
    <t>P-BTC-95600-230225</t>
  </si>
  <si>
    <t>C-BTC-98000-240225</t>
  </si>
  <si>
    <t>P-BTC-92800-240225</t>
  </si>
  <si>
    <t>C-BTC-96800-250225</t>
  </si>
  <si>
    <t>P-BTC-92000-250225</t>
  </si>
  <si>
    <t>C-BTC-92000-260225</t>
  </si>
  <si>
    <t>P-BTC-83200-260225</t>
  </si>
  <si>
    <t>C-BTC-90000-270225</t>
  </si>
  <si>
    <t>P-BTC-81200-270225</t>
  </si>
  <si>
    <t>C-BTC-88000-280225</t>
  </si>
  <si>
    <t>P-BTC-81000-280225</t>
  </si>
  <si>
    <t>C-BTC-88600-010325</t>
  </si>
  <si>
    <t>P-BTC-79000-010325</t>
  </si>
  <si>
    <t>C-BTC-87000-020325</t>
  </si>
  <si>
    <t>P-BTC-83000-020325</t>
  </si>
  <si>
    <t>C-BTC-98800-030325</t>
  </si>
  <si>
    <t>P-BTC-89400-030325</t>
  </si>
  <si>
    <t>C-BTC-94600-040325</t>
  </si>
  <si>
    <t>P-BTC-80800-040325</t>
  </si>
  <si>
    <t>C-BTC-93000-050325</t>
  </si>
  <si>
    <t>P-BTC-80000-050325</t>
  </si>
  <si>
    <t>C-BTC-93200-060325</t>
  </si>
  <si>
    <t>P-BTC-83000-060325</t>
  </si>
  <si>
    <t>C-BTC-92800-070325</t>
  </si>
  <si>
    <t>P-BTC-87400-070325</t>
  </si>
  <si>
    <t>C-BTC-94000-080325</t>
  </si>
  <si>
    <t>P-BTC-82000-080325</t>
  </si>
  <si>
    <t>C-BTC-88400-090325</t>
  </si>
  <si>
    <t>P-BTC-84000-090325</t>
  </si>
  <si>
    <t>C-BTC-86200-100325</t>
  </si>
  <si>
    <t>P-BTC-79600-100325</t>
  </si>
  <si>
    <t>C-BTC-83800-110325</t>
  </si>
  <si>
    <t>P-BTC-75200-110325</t>
  </si>
  <si>
    <t>C-BTC-88800-120325</t>
  </si>
  <si>
    <t>P-BTC-77800-120325</t>
  </si>
  <si>
    <t>C-BTC-85000-130325</t>
  </si>
  <si>
    <t>P-BTC-77000-130325</t>
  </si>
  <si>
    <t>C-BTC-85000-140325</t>
  </si>
  <si>
    <t>P-BTC-76000-140325</t>
  </si>
  <si>
    <t>C-BTC-86000-150325</t>
  </si>
  <si>
    <t>P-BTC-82000-150325</t>
  </si>
  <si>
    <t>C-BTC-85000-160325</t>
  </si>
  <si>
    <t>P-BTC-82800-160325</t>
  </si>
  <si>
    <t>C-BTC-87200-170325</t>
  </si>
  <si>
    <t>P-BTC-80000-170325</t>
  </si>
  <si>
    <t>C-BTC-87200-180325</t>
  </si>
  <si>
    <t>P-BTC-81800-180325</t>
  </si>
  <si>
    <t>C-BTC-82600-190325</t>
  </si>
  <si>
    <t>P-BTC-78400-190325</t>
  </si>
  <si>
    <t>C-BTC-88000-200325</t>
  </si>
  <si>
    <t>P-BTC-81600-200325</t>
  </si>
  <si>
    <t>C-BTC-85200-210325</t>
  </si>
  <si>
    <t>P-BTC-81000-210325</t>
  </si>
  <si>
    <t>C-BTC-85200-220325</t>
  </si>
  <si>
    <t>P-BTC-83000-220325</t>
  </si>
  <si>
    <t>C-BTC-84800-230325</t>
  </si>
  <si>
    <t>P-BTC-83800-230325</t>
  </si>
  <si>
    <t>C-BTC-86800-240325</t>
  </si>
  <si>
    <t>P-BTC-83400-240325</t>
  </si>
  <si>
    <t>C-BTC-89800-250325</t>
  </si>
  <si>
    <t>P-BTC-86400-250325</t>
  </si>
  <si>
    <t>C-BTC-88800-260325</t>
  </si>
  <si>
    <t>P-BTC-86200-260325</t>
  </si>
  <si>
    <t>C-BTC-88000-270325</t>
  </si>
  <si>
    <t>P-BTC-84000-270325</t>
  </si>
  <si>
    <t>C-BTC-88000-280325</t>
  </si>
  <si>
    <t>P-BTC-86000-280325</t>
  </si>
  <si>
    <t>C-BTC-85800-290325</t>
  </si>
  <si>
    <t>P-BTC-82400-290325</t>
  </si>
  <si>
    <t>C-BTC-84000-300325</t>
  </si>
  <si>
    <t>P-BTC-80400-300325</t>
  </si>
  <si>
    <t>C-BTC-83600-310325</t>
  </si>
  <si>
    <t>P-BTC-78800-310325</t>
  </si>
  <si>
    <t>C-BTC-85600-010425</t>
  </si>
  <si>
    <t>P-BTC-82600-010425</t>
  </si>
  <si>
    <t>C-BTC-87200-020425</t>
  </si>
  <si>
    <t>P-BTC-82400-020425</t>
  </si>
  <si>
    <t>C-BTC-89600-030425</t>
  </si>
  <si>
    <t>P-BTC-81600-030425</t>
  </si>
  <si>
    <t>C-BTC-84400-040425</t>
  </si>
  <si>
    <t>P-BTC-79000-040425</t>
  </si>
  <si>
    <t>C-BTC-86400-050425</t>
  </si>
  <si>
    <t>P-BTC-80000-050425</t>
  </si>
  <si>
    <t>C-BTC-83600-060425</t>
  </si>
  <si>
    <t>P-BTC-81200-060425</t>
  </si>
  <si>
    <t>C-BTC-85000-070425</t>
  </si>
  <si>
    <t>P-BTC-75600-070425</t>
  </si>
  <si>
    <t>C-BTC-83600-080425</t>
  </si>
  <si>
    <t>P-BTC-72800-080425</t>
  </si>
  <si>
    <t>C-BTC-81000-090425</t>
  </si>
  <si>
    <t>P-BTC-73200-090425</t>
  </si>
  <si>
    <t>C-BTC-85600-100425</t>
  </si>
  <si>
    <t>P-BTC-75000-100425</t>
  </si>
  <si>
    <t>C-BTC-82400-110425</t>
  </si>
  <si>
    <t>P-BTC-76000-110425</t>
  </si>
  <si>
    <t>C-BTC-85200-120425</t>
  </si>
  <si>
    <t>P-BTC-81000-120425</t>
  </si>
  <si>
    <t>C-BTC-86800-130425</t>
  </si>
  <si>
    <t>P-BTC-83800-130425</t>
  </si>
  <si>
    <t>C-BTC-86400-140425</t>
  </si>
  <si>
    <t>P-BTC-80000-140425</t>
  </si>
  <si>
    <t>C-BTC-88400-150425</t>
  </si>
  <si>
    <t>P-BTC-81200-150425</t>
  </si>
  <si>
    <t>C-BTC-86000-160425</t>
  </si>
  <si>
    <t>P-BTC-82000-160425</t>
  </si>
  <si>
    <t>C-BTC-86600-170425</t>
  </si>
  <si>
    <t>P-BTC-82400-170425</t>
  </si>
  <si>
    <t>C-BTC-87000-180425</t>
  </si>
  <si>
    <t>P-BTC-83600-180425</t>
  </si>
  <si>
    <t>C-BTC-85200-190425</t>
  </si>
  <si>
    <t>P-BTC-84000-190425</t>
  </si>
  <si>
    <t>C-BTC-86200-200425</t>
  </si>
  <si>
    <t>P-BTC-84000-200425</t>
  </si>
  <si>
    <t>C-BTC-86400-210425</t>
  </si>
  <si>
    <t>P-BTC-82800-210425</t>
  </si>
  <si>
    <t>C-BTC-89400-220425</t>
  </si>
  <si>
    <t>P-BTC-85200-220425</t>
  </si>
  <si>
    <t>C-BTC-93200-230425</t>
  </si>
  <si>
    <t>P-BTC-88000-230425</t>
  </si>
  <si>
    <t>C-BTC-96400-240425</t>
  </si>
  <si>
    <t>P-BTC-90200-240425</t>
  </si>
  <si>
    <t>C-BTC-94200-250425</t>
  </si>
  <si>
    <t>P-BTC-91000-250425</t>
  </si>
  <si>
    <t>Expired</t>
  </si>
  <si>
    <t>C-BTC-96800-260425</t>
  </si>
  <si>
    <t>P-BTC-93000-260425</t>
  </si>
  <si>
    <t>C-BTC-96000-270425</t>
  </si>
  <si>
    <t>P-BTC-93000-270425</t>
  </si>
  <si>
    <t>C-BTC-97200-280425</t>
  </si>
  <si>
    <t>P-BTC-91600-280425</t>
  </si>
  <si>
    <t>C-BTC-97000-290425</t>
  </si>
  <si>
    <t>P-BTC-92000-290425</t>
  </si>
  <si>
    <t>C-BTC-97200-300425</t>
  </si>
  <si>
    <t>P-BTC-94000-300425</t>
  </si>
  <si>
    <t>C-BTC-96800-010525</t>
  </si>
  <si>
    <t>P-BTC-92800-010525</t>
  </si>
  <si>
    <t>C-BTC-98800-020525</t>
  </si>
  <si>
    <t>P-BTC-95800-020525</t>
  </si>
  <si>
    <t>C-BTC-98800-030525</t>
  </si>
  <si>
    <t>P-BTC-95800-030525</t>
  </si>
  <si>
    <t>C-BTC-97200-040525</t>
  </si>
  <si>
    <t>P-BTC-94800-040525</t>
  </si>
  <si>
    <t>C-BTC-96400-050525</t>
  </si>
  <si>
    <t>P-BTC-94800-050525</t>
  </si>
  <si>
    <t>C-BTC-96000-060525</t>
  </si>
  <si>
    <t>P-BTC-93800-060525</t>
  </si>
  <si>
    <t>C-BTC-96000-070525</t>
  </si>
  <si>
    <t>P-BTC-93200-070525</t>
  </si>
  <si>
    <t>C-BTC-100000-080525</t>
  </si>
  <si>
    <t>P-BTC-94600-080525</t>
  </si>
  <si>
    <t>C-BTC-105000-090525</t>
  </si>
  <si>
    <t>P-BTC-99000-090525</t>
  </si>
  <si>
    <t>C-BTC-106000-100525</t>
  </si>
  <si>
    <t>P-BTC-101200-100525</t>
  </si>
  <si>
    <t>C-BTC-105000-110525</t>
  </si>
  <si>
    <t>P-BTC-102200-110525</t>
  </si>
  <si>
    <t>C-BTC-106200-120525</t>
  </si>
  <si>
    <t>P-BTC-100000-120525</t>
  </si>
  <si>
    <t>C-BTC-104600-130525</t>
  </si>
  <si>
    <t>P-BTC-99200-130525</t>
  </si>
  <si>
    <t>C-BTC-106800-140525</t>
  </si>
  <si>
    <t>P-BTC-102000-140525</t>
  </si>
  <si>
    <t>C-BTC-105000-150525</t>
  </si>
  <si>
    <t>P-BTC-102800-150525</t>
  </si>
  <si>
    <t>C-BTC-105000-160525</t>
  </si>
  <si>
    <t>P-BTC-100000-160525</t>
  </si>
  <si>
    <t>C-BTC-105000-170525</t>
  </si>
  <si>
    <t>P-BTC-102600-170525</t>
  </si>
  <si>
    <t>C-BTC-103600-180525</t>
  </si>
  <si>
    <t>P-BTC-101400-180525</t>
  </si>
  <si>
    <t>C-BTC-106800-190525</t>
  </si>
  <si>
    <t>P-BTC-100800-190525</t>
  </si>
  <si>
    <t>C-BTC-106200-200525</t>
  </si>
  <si>
    <t>P-BTC-100800-200525</t>
  </si>
  <si>
    <t>C-BTC-107600-210525</t>
  </si>
  <si>
    <t>P-BTC-102000-210525</t>
  </si>
  <si>
    <t>C-BTC-112000-220525</t>
  </si>
  <si>
    <t>P-BTC-102400-220525</t>
  </si>
  <si>
    <t>C-BTC-114800-230525</t>
  </si>
  <si>
    <t>P-BTC-109000-230525</t>
  </si>
  <si>
    <t>C-BTC-112200-240525</t>
  </si>
  <si>
    <t>P-BTC-107000-240525</t>
  </si>
  <si>
    <t>C-BTC-110600-250525</t>
  </si>
  <si>
    <t>P-BTC-106400-250525</t>
  </si>
  <si>
    <t>C-BTC-111000-260525</t>
  </si>
  <si>
    <t>P-BTC-103600-260525</t>
  </si>
  <si>
    <t>C-BTC-112000-270525</t>
  </si>
  <si>
    <t>P-BTC-106000-270525</t>
  </si>
  <si>
    <t>C-BTC-114000-280525</t>
  </si>
  <si>
    <t>P-BTC-109600-280525</t>
  </si>
  <si>
    <t>C-BTC-109600-290525</t>
  </si>
  <si>
    <t>P-BTC-107400-290525</t>
  </si>
  <si>
    <t>C-BTC-107800-300525</t>
  </si>
  <si>
    <t>P-BTC-102000-300525</t>
  </si>
  <si>
    <t>C-BTC-106600-310525</t>
  </si>
  <si>
    <t>P-BTC-102400-310525</t>
  </si>
  <si>
    <t>C-BTC-106000-010625</t>
  </si>
  <si>
    <t>P-BTC-102600-010625</t>
  </si>
  <si>
    <t>CE pct</t>
  </si>
  <si>
    <t>PE pct</t>
  </si>
  <si>
    <t>net pnl</t>
  </si>
  <si>
    <t>cum pnl</t>
  </si>
  <si>
    <t>C-BTC-107600-020625</t>
  </si>
  <si>
    <t>P-BTC-101200-020625</t>
  </si>
  <si>
    <t>C-BTC-106400-030625</t>
  </si>
  <si>
    <t>P-BTC-103200-030625</t>
  </si>
  <si>
    <t>C-BTC-108400-040625</t>
  </si>
  <si>
    <t>P-BTC-103800-040625</t>
  </si>
  <si>
    <t>C-BTC-106000-050625</t>
  </si>
  <si>
    <t>P-BTC-103200-050625</t>
  </si>
  <si>
    <t>C-BTC-105000-060625</t>
  </si>
  <si>
    <t>P-BTC-100000-060625</t>
  </si>
  <si>
    <t>C-BTC-105600-070625</t>
  </si>
  <si>
    <t>P-BTC-102000-070625</t>
  </si>
  <si>
    <t>C-BTC-107200-080625</t>
  </si>
  <si>
    <t>P-BTC-104000-080625</t>
  </si>
  <si>
    <t>C-BTC-107600-090625</t>
  </si>
  <si>
    <t>P-BTC-103000-090625</t>
  </si>
  <si>
    <t>C-BTC-110000-100625</t>
  </si>
  <si>
    <t>P-BTC-106000-100625</t>
  </si>
  <si>
    <t>C-BTC-113200-110625</t>
  </si>
  <si>
    <t>P-BTC-107400-110625</t>
  </si>
  <si>
    <t>C-BTC-111600-120625</t>
  </si>
  <si>
    <t>P-BTC-106800-120625</t>
  </si>
  <si>
    <t>C-BTC-108800-130625</t>
  </si>
  <si>
    <t>P-BTC-105000-130625</t>
  </si>
  <si>
    <t>C-BTC-106400-140625</t>
  </si>
  <si>
    <t>P-BTC-101600-140625</t>
  </si>
  <si>
    <t>C-BTC-106000-150625</t>
  </si>
  <si>
    <t>P-BTC-103000-150625</t>
  </si>
  <si>
    <t>C-BTC-106000-160625</t>
  </si>
  <si>
    <t>P-BTC-104200-160625</t>
  </si>
  <si>
    <t>C-BTC-109600-170625</t>
  </si>
  <si>
    <t>P-BTC-106000-170625</t>
  </si>
  <si>
    <t>C-BTC-107200-180625</t>
  </si>
  <si>
    <t>P-BTC-102000-180625</t>
  </si>
  <si>
    <t>C-BTC-106400-190625</t>
  </si>
  <si>
    <t>P-BTC-100400-190625</t>
  </si>
  <si>
    <t>C-BTC-105400-200625</t>
  </si>
  <si>
    <t>P-BTC-103600-200625</t>
  </si>
  <si>
    <t>C-BTC-105200-210625</t>
  </si>
  <si>
    <t>P-BTC-102000-210625</t>
  </si>
  <si>
    <t>C-BTC-104200-220625</t>
  </si>
  <si>
    <t>P-BTC-100800-220625</t>
  </si>
  <si>
    <t>C-BTC-101600-230625</t>
  </si>
  <si>
    <t>P-BTC-96400-230625</t>
  </si>
  <si>
    <t>C-BTC-106400-240625</t>
  </si>
  <si>
    <t>P-BTC-98600-240625</t>
  </si>
  <si>
    <t>C-BTC-108000-250625</t>
  </si>
  <si>
    <t>P-BTC-104800-250625</t>
  </si>
  <si>
    <t>C-BTC-109000-260625</t>
  </si>
  <si>
    <t>P-BTC-105000-260625</t>
  </si>
  <si>
    <t>C-BTC-108400-270625</t>
  </si>
  <si>
    <t>P-BTC-106000-270625</t>
  </si>
  <si>
    <t>C-BTC-107000-280625</t>
  </si>
  <si>
    <t>P-BTC-104800-280625</t>
  </si>
  <si>
    <t>C-BTC-108600-290625</t>
  </si>
  <si>
    <t>P-BTC-106000-290625</t>
  </si>
  <si>
    <t>C-BTC-108600-300625</t>
  </si>
  <si>
    <t>P-BTC-107600-300625</t>
  </si>
  <si>
    <t>C-BTC-108600-010725</t>
  </si>
  <si>
    <t>P-BTC-106600-010725</t>
  </si>
  <si>
    <t>C-BTC-107200-020725</t>
  </si>
  <si>
    <t>P-BTC-104400-020725</t>
  </si>
  <si>
    <t>C-BTC-111200-030725</t>
  </si>
  <si>
    <t>P-BTC-107000-030725</t>
  </si>
  <si>
    <t>C-BTC-112000-040725</t>
  </si>
  <si>
    <t>P-BTC-107000-040725</t>
  </si>
  <si>
    <t>C-BTC-108800-050725</t>
  </si>
  <si>
    <t>P-BTC-106000-050725</t>
  </si>
  <si>
    <t>C-BTC-109000-060725</t>
  </si>
  <si>
    <t>P-BTC-107000-060725</t>
  </si>
  <si>
    <t>C-BTC-110000-070725</t>
  </si>
  <si>
    <t>P-BTC-107200-070725</t>
  </si>
  <si>
    <t>C-BTC-109000-080725</t>
  </si>
  <si>
    <t>P-BTC-106000-080725</t>
  </si>
  <si>
    <t>C-BTC-110000-090725</t>
  </si>
  <si>
    <t>P-BTC-107800-090725</t>
  </si>
  <si>
    <t>C-BTC-110600-100725</t>
  </si>
  <si>
    <t>P-BTC-108000-100725</t>
  </si>
  <si>
    <t>C-BTC-116000-110725</t>
  </si>
  <si>
    <t>P-BTC-111000-110725</t>
  </si>
  <si>
    <t>C-BTC-120800-120725</t>
  </si>
  <si>
    <t>P-BTC-115000-120725</t>
  </si>
  <si>
    <t>C-BTC-119000-130725</t>
  </si>
  <si>
    <t>P-BTC-116000-130725</t>
  </si>
  <si>
    <t>C-BTC-121600-140725</t>
  </si>
  <si>
    <t>P-BTC-118000-140725</t>
  </si>
  <si>
    <t>C-BTC-124000-150725</t>
  </si>
  <si>
    <t>P-BTC-116000-150725</t>
  </si>
  <si>
    <t>C-BTC-120000-160725</t>
  </si>
  <si>
    <t>P-BTC-113600-160725</t>
  </si>
  <si>
    <t>C-BTC-123600-170725</t>
  </si>
  <si>
    <t>P-BTC-117800-170725</t>
  </si>
  <si>
    <t>C-BTC-120600-180725</t>
  </si>
  <si>
    <t>P-BTC-116000-180725</t>
  </si>
  <si>
    <t>C-BTC-119600-190725</t>
  </si>
  <si>
    <t>P-BTC-114800-190725</t>
  </si>
  <si>
    <t>C-BTC-119000-200725</t>
  </si>
  <si>
    <t>P-BTC-117000-200725</t>
  </si>
  <si>
    <t>C-BTC-119200-210725</t>
  </si>
  <si>
    <t>P-BTC-118000-210725</t>
  </si>
  <si>
    <t>C-BTC-119600-220725</t>
  </si>
  <si>
    <t>P-BTC-114400-220725</t>
  </si>
  <si>
    <t>C-BTC-122800-230725</t>
  </si>
  <si>
    <t>P-BTC-117400-230725</t>
  </si>
  <si>
    <t>C-BTC-120000-240725</t>
  </si>
  <si>
    <t>P-BTC-116000-240725</t>
  </si>
  <si>
    <t>C-BTC-120600-250725</t>
  </si>
  <si>
    <t>P-BTC-119000-250725</t>
  </si>
  <si>
    <t>C-BTC-117600-260725</t>
  </si>
  <si>
    <t>P-BTC-113600-260725</t>
  </si>
  <si>
    <t>C-BTC-118400-270725</t>
  </si>
  <si>
    <t>P-BTC-117200-270725</t>
  </si>
  <si>
    <t>C-BTC-120800-280725</t>
  </si>
  <si>
    <t>P-BTC-117000-280725</t>
  </si>
  <si>
    <t>C-BTC-119000-290725</t>
  </si>
  <si>
    <t>P-BTC-115600-290725</t>
  </si>
  <si>
    <t>C-BTC-119800-300725</t>
  </si>
  <si>
    <t>P-BTC-116800-300725</t>
  </si>
  <si>
    <t>C-BTC-119800-310725</t>
  </si>
  <si>
    <t>P-BTC-114800-310725</t>
  </si>
  <si>
    <t>C-BTC-120000-010825</t>
  </si>
  <si>
    <t>P-BTC-115600-010825</t>
  </si>
  <si>
    <t>C-BTC-115600-020825</t>
  </si>
  <si>
    <t>P-BTC-112000-020825</t>
  </si>
  <si>
    <t>C-BTC-113600-030825</t>
  </si>
  <si>
    <t>P-BTC-111200-030825</t>
  </si>
  <si>
    <t>C-BTC-116600-040825</t>
  </si>
  <si>
    <t>P-BTC-111200-040825</t>
  </si>
  <si>
    <t>C-BTC-117200-050825</t>
  </si>
  <si>
    <t>P-BTC-113000-050825</t>
  </si>
  <si>
    <t>C-BTC-115600-060825</t>
  </si>
  <si>
    <t>P-BTC-111800-060825</t>
  </si>
  <si>
    <t>C-BTC-116000-070825</t>
  </si>
  <si>
    <t>P-BTC-114800-070825</t>
  </si>
  <si>
    <t>C-BTC-118000-080825</t>
  </si>
  <si>
    <t>P-BTC-114400-080825</t>
  </si>
  <si>
    <t>C-BTC-118200-090825</t>
  </si>
  <si>
    <t>P-BTC-115000-090825</t>
  </si>
  <si>
    <t>C-BTC-118400-100825</t>
  </si>
  <si>
    <t>P-BTC-116600-100825</t>
  </si>
  <si>
    <t>C-BTC-120400-110825</t>
  </si>
  <si>
    <t>P-BTC-115800-110825</t>
  </si>
  <si>
    <t>C-BTC-123000-120825</t>
  </si>
  <si>
    <t>P-BTC-119000-120825</t>
  </si>
  <si>
    <t>C-BTC-122400-130825</t>
  </si>
  <si>
    <t>P-BTC-117400-130825</t>
  </si>
  <si>
    <t>C-BTC-124400-140825</t>
  </si>
  <si>
    <t>P-BTC-119800-140825</t>
  </si>
  <si>
    <t>C-BTC-121800-150825</t>
  </si>
  <si>
    <t>P-BTC-114000-150825</t>
  </si>
  <si>
    <t>C-BTC-120000-160825</t>
  </si>
  <si>
    <t>P-BTC-114400-160825</t>
  </si>
  <si>
    <t>C-BTC-118600-170825</t>
  </si>
  <si>
    <t>P-BTC-116000-170825</t>
  </si>
  <si>
    <t>C-BTC-120000-180825</t>
  </si>
  <si>
    <t>P-BTC-115200-180825</t>
  </si>
  <si>
    <t>C-BTC-119000-190825</t>
  </si>
  <si>
    <t>P-BTC-113600-190825</t>
  </si>
  <si>
    <t>C-BTC-115600-200825</t>
  </si>
  <si>
    <t>P-BTC-111200-200825</t>
  </si>
  <si>
    <t>C-BTC-115800-210825</t>
  </si>
  <si>
    <t>P-BTC-111200-210825</t>
  </si>
  <si>
    <t>C-BTC-115000-220825</t>
  </si>
  <si>
    <t>P-BTC-111800-220825</t>
  </si>
  <si>
    <t>C-BTC-118000-230825</t>
  </si>
  <si>
    <t>P-BTC-115000-230825</t>
  </si>
  <si>
    <t>C-BTC-116600-240825</t>
  </si>
  <si>
    <t>P-BTC-114800-240825</t>
  </si>
  <si>
    <t>C-BTC-118000-250825</t>
  </si>
  <si>
    <t>P-BTC-114000-250825</t>
  </si>
  <si>
    <t>C-BTC-115000-260825</t>
  </si>
  <si>
    <t>P-BTC-108800-260825</t>
  </si>
  <si>
    <t>C-BTC-112800-270825</t>
  </si>
  <si>
    <t>P-BTC-110000-270825</t>
  </si>
  <si>
    <t>C-BTC-114400-280825</t>
  </si>
  <si>
    <t>P-BTC-108800-280825</t>
  </si>
  <si>
    <t>C-BTC-115000-290825</t>
  </si>
  <si>
    <t>P-BTC-112000-290825</t>
  </si>
  <si>
    <t>C-BTC-109600-300825</t>
  </si>
  <si>
    <t>P-BTC-106400-300825</t>
  </si>
  <si>
    <t>C-BTC-109400-310825</t>
  </si>
  <si>
    <t>P-BTC-108800-310825</t>
  </si>
  <si>
    <t>C-BTC-110400-010925</t>
  </si>
  <si>
    <t>P-BTC-108800-010925</t>
  </si>
  <si>
    <t>C-BTC-110000-020925</t>
  </si>
  <si>
    <t>P-BTC-107000-020925</t>
  </si>
  <si>
    <t>C-BTC-113600-030925</t>
  </si>
  <si>
    <t>P-BTC-107000-030925</t>
  </si>
  <si>
    <t>C-BTC-114000-040925</t>
  </si>
  <si>
    <t>P-BTC-109400-040925</t>
  </si>
  <si>
    <t>C-BTC-111800-050925</t>
  </si>
  <si>
    <t>P-BTC-107000-050925</t>
  </si>
  <si>
    <t>C-BTC-113400-060925</t>
  </si>
  <si>
    <t>P-BTC-109600-060925</t>
  </si>
  <si>
    <t>C-BTC-110800-070925</t>
  </si>
  <si>
    <t>P-BTC-108400-070925</t>
  </si>
  <si>
    <t>C-BTC-113400-080925</t>
  </si>
  <si>
    <t>P-BTC-109200-080925</t>
  </si>
  <si>
    <t>C-BTC-113000-090925</t>
  </si>
  <si>
    <t>P-BTC-110600-090925</t>
  </si>
  <si>
    <t>C-BTC-113000-100925</t>
  </si>
  <si>
    <t>P-BTC-109200-100925</t>
  </si>
  <si>
    <t>C-BTC-115200-110925</t>
  </si>
  <si>
    <t>P-BTC-113600-110925</t>
  </si>
  <si>
    <t>C-BTC-117000-120925</t>
  </si>
  <si>
    <t>P-BTC-112600-120925</t>
  </si>
  <si>
    <t>C-BTC-117800-130925</t>
  </si>
  <si>
    <t>P-BTC-114800-130925</t>
  </si>
  <si>
    <t>C-BTC-115800-140925</t>
  </si>
  <si>
    <t>P-BTC-115200-140925</t>
  </si>
  <si>
    <t>C-BTC-116800-150925</t>
  </si>
  <si>
    <t>P-BTC-115400-150925</t>
  </si>
  <si>
    <t>C-BTC-117000-160925</t>
  </si>
  <si>
    <t>P-BTC-113200-160925</t>
  </si>
  <si>
    <t>C-BTC-118800-170925</t>
  </si>
  <si>
    <t>P-BTC-114400-170925</t>
  </si>
  <si>
    <t>C-BTC-118400-180925</t>
  </si>
  <si>
    <t>P-BTC-111600-180925</t>
  </si>
  <si>
    <t>C-BTC-119200-190925</t>
  </si>
  <si>
    <t>P-BTC-116600-190925</t>
  </si>
  <si>
    <t>C-BTC-116600-200925</t>
  </si>
  <si>
    <t>P-BTC-115000-200925</t>
  </si>
  <si>
    <t>C-BTC-116400-210925</t>
  </si>
  <si>
    <t>P-BTC-115000-210925</t>
  </si>
  <si>
    <t>C-BTC-116000-220925</t>
  </si>
  <si>
    <t>P-BTC-114800-220925</t>
  </si>
  <si>
    <t>C-BTC-113800-230925</t>
  </si>
  <si>
    <t>P-BTC-110000-230925</t>
  </si>
  <si>
    <t>C-BTC-113400-240925</t>
  </si>
  <si>
    <t>P-BTC-109200-240925</t>
  </si>
  <si>
    <t>C-BTC-115000-250925</t>
  </si>
  <si>
    <t>P-BTC-111600-250925</t>
  </si>
  <si>
    <t>C-BTC-113400-260925</t>
  </si>
  <si>
    <t>P-BTC-107000-260925</t>
  </si>
  <si>
    <t>C-BTC-111000-270925</t>
  </si>
  <si>
    <t>P-BTC-108000-270925</t>
  </si>
  <si>
    <t>C-BTC-109600-280925</t>
  </si>
  <si>
    <t>P-BTC-108200-280925</t>
  </si>
  <si>
    <t>C-BTC-112000-290925</t>
  </si>
  <si>
    <t>P-BTC-109800-290925</t>
  </si>
  <si>
    <t>C-BTC-115600-300925</t>
  </si>
  <si>
    <t>P-BTC-112400-300925</t>
  </si>
  <si>
    <t>C-BTC-116000-011025</t>
  </si>
  <si>
    <t>P-BTC-111800-011025</t>
  </si>
  <si>
    <t>C-BTC-119600-021025</t>
  </si>
  <si>
    <t>P-BTC-114600-021025</t>
  </si>
  <si>
    <t>C-BTC-124000-031025</t>
  </si>
  <si>
    <t>P-BTC-117000-031025</t>
  </si>
  <si>
    <t>C-BTC-124000-041025</t>
  </si>
  <si>
    <t>P-BTC-120200-041025</t>
  </si>
  <si>
    <t>C-BTC-122800-051025</t>
  </si>
  <si>
    <t>P-BTC-119800-051025</t>
  </si>
  <si>
    <t>C-BTC-128000-061025</t>
  </si>
  <si>
    <t>P-BTC-120000-061025</t>
  </si>
  <si>
    <t>C-BTC-129200-071025</t>
  </si>
  <si>
    <t>P-BTC-122000-071025</t>
  </si>
  <si>
    <t>C-BTC-125000-081025</t>
  </si>
  <si>
    <t>P-BTC-119200-081025</t>
  </si>
  <si>
    <t>C-BTC-126000-091025</t>
  </si>
  <si>
    <t>P-BTC-119600-091025</t>
  </si>
  <si>
    <t>C-BTC-125000-101025</t>
  </si>
  <si>
    <t>P-BTC-117000-101025</t>
  </si>
  <si>
    <t>C-BTC-120800-111025</t>
  </si>
  <si>
    <t>P-BTC-116000-111025</t>
  </si>
  <si>
    <t>C-BTC-113000-121025</t>
  </si>
  <si>
    <t>P-BTC-109000-121025</t>
  </si>
  <si>
    <t>C-BTC-120400-131025</t>
  </si>
  <si>
    <t>P-BTC-107200-131025</t>
  </si>
  <si>
    <t>C-BTC-119600-141025</t>
  </si>
  <si>
    <t>P-BTC-111000-141025</t>
  </si>
  <si>
    <t>C-BTC-115800-151025</t>
  </si>
  <si>
    <t>P-BTC-110600-151025</t>
  </si>
  <si>
    <t>C-BTC-115400-161025</t>
  </si>
  <si>
    <t>P-BTC-107600-161025</t>
  </si>
  <si>
    <t>C-BTC-113000-171025</t>
  </si>
  <si>
    <t>P-BTC-105000-171025</t>
  </si>
  <si>
    <t>C-BTC-108600-181025</t>
  </si>
  <si>
    <t>P-BTC-103400-181025</t>
  </si>
  <si>
    <t>C-BTC-107400-191025</t>
  </si>
  <si>
    <t>P-BTC-105000-191025</t>
  </si>
  <si>
    <t>C-BTC-110800-201025</t>
  </si>
  <si>
    <t>P-BTC-104600-201025</t>
  </si>
  <si>
    <t>C-BTC-113600-211025</t>
  </si>
  <si>
    <t>P-BTC-107200-211025</t>
  </si>
  <si>
    <t>C-BTC-116000-221025</t>
  </si>
  <si>
    <t>P-BTC-107200-221025</t>
  </si>
  <si>
    <t>C-BTC-110000-231025</t>
  </si>
  <si>
    <t>P-BTC-103600-231025</t>
  </si>
  <si>
    <t>C-BTC-112200-241025</t>
  </si>
  <si>
    <t>P-BTC-106200-241025</t>
  </si>
  <si>
    <t>C-BTC-112800-251025</t>
  </si>
  <si>
    <t>P-BTC-108000-251025</t>
  </si>
  <si>
    <t>C-BTC-112800-261025</t>
  </si>
  <si>
    <t>P-BTC-109800-261025</t>
  </si>
  <si>
    <t>C-BTC-116000-271025</t>
  </si>
  <si>
    <t>P-BTC-111600-271025</t>
  </si>
  <si>
    <t>C-BTC-118400-281025</t>
  </si>
  <si>
    <t>P-BTC-114000-281025</t>
  </si>
  <si>
    <t>C-BTC-118000-291025</t>
  </si>
  <si>
    <t>P-BTC-112200-291025</t>
  </si>
  <si>
    <t>C-BTC-116000-301025</t>
  </si>
  <si>
    <t>P-BTC-107200-301025</t>
  </si>
  <si>
    <t>C-BTC-112800-311025</t>
  </si>
  <si>
    <t>P-BTC-101000-311025</t>
  </si>
  <si>
    <t>C-BTC-112000-011125</t>
  </si>
  <si>
    <t>P-BTC-106000-011125</t>
  </si>
  <si>
    <t>C-BTC-112400-021125</t>
  </si>
  <si>
    <t>P-BTC-108000-021125</t>
  </si>
  <si>
    <t>C-BTC-114000-031125</t>
  </si>
  <si>
    <t>P-BTC-105600-031125</t>
  </si>
  <si>
    <t>C-BTC-110000-041125</t>
  </si>
  <si>
    <t>P-BTC-103200-041125</t>
  </si>
  <si>
    <t>C-BTC-107000-051125</t>
  </si>
  <si>
    <t>P-BTC-97600-051125</t>
  </si>
  <si>
    <t>C-BTC-107000-061125</t>
  </si>
  <si>
    <t>P-BTC-100000-061125</t>
  </si>
  <si>
    <t>C-BTC-105000-071125</t>
  </si>
  <si>
    <t>P-BTC-97000-071125</t>
  </si>
  <si>
    <t>C-BTC-105200-081125</t>
  </si>
  <si>
    <t>P-BTC-99800-081125</t>
  </si>
  <si>
    <t>C-BTC-103000-091125</t>
  </si>
  <si>
    <t>P-BTC-101000-091125</t>
  </si>
  <si>
    <t>C-BTC-106800-101125</t>
  </si>
  <si>
    <t>P-BTC-100800-101125</t>
  </si>
  <si>
    <t>C-BTC-108000-111125</t>
  </si>
  <si>
    <t>P-BTC-102000-111125</t>
  </si>
  <si>
    <t>C-BTC-106000-121125</t>
  </si>
  <si>
    <t>P-BTC-102000-121125</t>
  </si>
  <si>
    <t>C-BTC-106000-131125</t>
  </si>
  <si>
    <t>P-BTC-99600-131125</t>
  </si>
  <si>
    <t>C-BTC-105000-141125</t>
  </si>
  <si>
    <t>P-BTC-91000-141125</t>
  </si>
  <si>
    <t>C-BTC-98000-151125</t>
  </si>
  <si>
    <t>P-BTC-91600-151125</t>
  </si>
  <si>
    <t>C-BTC-97800-161125</t>
  </si>
  <si>
    <t>P-BTC-94000-161125</t>
  </si>
  <si>
    <t>C-BTC-98000-171125</t>
  </si>
  <si>
    <t>P-BTC-90400-171125</t>
  </si>
  <si>
    <t>C-BTC-96000-181125</t>
  </si>
  <si>
    <t>P-BTC-89200-181125</t>
  </si>
  <si>
    <t>C-BTC-95400-191125</t>
  </si>
  <si>
    <t>P-BTC-90000-191125</t>
  </si>
  <si>
    <t>C-BTC-91000-201125</t>
  </si>
  <si>
    <t>P-BTC-85600-201125</t>
  </si>
  <si>
    <t>C-BTC-92000-211125</t>
  </si>
  <si>
    <t>P-BTC-83600-211125</t>
  </si>
  <si>
    <t>C-BTC-88800-221125</t>
  </si>
  <si>
    <t>P-BTC-78800-221125</t>
  </si>
  <si>
    <t>C-BTC-86000-231125</t>
  </si>
  <si>
    <t>P-BTC-82400-231125</t>
  </si>
  <si>
    <t>C-BTC-89600-241125</t>
  </si>
  <si>
    <t>P-BTC-81600-241125</t>
  </si>
  <si>
    <t>C-BTC-90800-251125</t>
  </si>
  <si>
    <t>P-BTC-85000-251125</t>
  </si>
  <si>
    <t>C-BTC-90000-261125</t>
  </si>
  <si>
    <t>P-BTC-84000-261125</t>
  </si>
  <si>
    <t>C-BTC-92400-271125</t>
  </si>
  <si>
    <t>P-BTC-87000-271125</t>
  </si>
  <si>
    <t>C-BTC-95000-281125</t>
  </si>
  <si>
    <t>P-BTC-88600-281125</t>
  </si>
  <si>
    <t>C-BTC-92600-291125</t>
  </si>
  <si>
    <t>P-BTC-88600-291125</t>
  </si>
  <si>
    <t>C-BTC-92000-301125</t>
  </si>
  <si>
    <t>P-BTC-89200-301125</t>
  </si>
  <si>
    <t>C-BTC-93200-011225</t>
  </si>
  <si>
    <t>P-BTC-88800-011225</t>
  </si>
  <si>
    <t>C-BTC-88600-021225</t>
  </si>
  <si>
    <t>P-BTC-81200-021225</t>
  </si>
  <si>
    <t>C-BTC-95200-031225</t>
  </si>
  <si>
    <t>P-BTC-87200-031225</t>
  </si>
  <si>
    <t>C-BTC-95200-041225</t>
  </si>
  <si>
    <t>P-BTC-89800-041225</t>
  </si>
  <si>
    <t>C-BTC-94600-051225</t>
  </si>
  <si>
    <t>P-BTC-89000-051225</t>
  </si>
  <si>
    <t>C-BTC-91200-061225</t>
  </si>
  <si>
    <t>P-BTC-86400-061225</t>
  </si>
  <si>
    <t>C-BTC-91400-071225</t>
  </si>
  <si>
    <t>P-BTC-88000-071225</t>
  </si>
  <si>
    <t>C-BTC-94000-081225</t>
  </si>
  <si>
    <t>P-BTC-87200-081225</t>
  </si>
  <si>
    <t>C-BTC-92800-091225</t>
  </si>
  <si>
    <t>P-BTC-88000-091225</t>
  </si>
  <si>
    <t>C-BTC-96800-101225</t>
  </si>
  <si>
    <t>P-BTC-90400-101225</t>
  </si>
  <si>
    <t>C-BTC-98400-111225</t>
  </si>
  <si>
    <t>P-BTC-85600-111225</t>
  </si>
  <si>
    <t>C-BTC-94000-121225</t>
  </si>
  <si>
    <t>P-BTC-88200-121225</t>
  </si>
  <si>
    <t>C-BTC-92400-131225</t>
  </si>
  <si>
    <t>P-BTC-88000-131225</t>
  </si>
  <si>
    <t>C-BTC-90400-141225</t>
  </si>
  <si>
    <t>P-BTC-89000-141225</t>
  </si>
  <si>
    <t>C-BTC-92200-151225</t>
  </si>
  <si>
    <t>P-BTC-86400-151225</t>
  </si>
  <si>
    <t>C-BTC-89800-161225</t>
  </si>
  <si>
    <t>P-BTC-83600-161225</t>
  </si>
  <si>
    <t>C-BTC-90000-171225</t>
  </si>
  <si>
    <t>P-BTC-85200-171225</t>
  </si>
  <si>
    <t>C-BTC-88800-181225</t>
  </si>
  <si>
    <t>P-BTC-82000-181225</t>
  </si>
  <si>
    <t>C-BTC-89000-191225</t>
  </si>
  <si>
    <t>P-BTC-81000-191225</t>
  </si>
  <si>
    <t>C-BTC-89200-201225</t>
  </si>
  <si>
    <t>P-BTC-84000-201225</t>
  </si>
  <si>
    <t>C-BTC-89600-211225</t>
  </si>
  <si>
    <t>P-BTC-87600-211225</t>
  </si>
  <si>
    <t>C-BTC-91600-221225</t>
  </si>
  <si>
    <t>P-BTC-85200-221225</t>
  </si>
  <si>
    <t>C-BTC-91400-231225</t>
  </si>
  <si>
    <t>P-BTC-86400-231225</t>
  </si>
  <si>
    <t>C-BTC-89600-241225</t>
  </si>
  <si>
    <t>P-BTC-86200-241225</t>
  </si>
  <si>
    <t>C-BTC-88600-251225</t>
  </si>
  <si>
    <t>P-BTC-86000-251225</t>
  </si>
  <si>
    <t>C-BTC-88800-261225</t>
  </si>
  <si>
    <t>P-BTC-86200-261225</t>
  </si>
  <si>
    <t>C-BTC-88400-271225</t>
  </si>
  <si>
    <t>P-BTC-86000-271225</t>
  </si>
  <si>
    <t>C-BTC-88000-281225</t>
  </si>
  <si>
    <t>P-BTC-87000-281225</t>
  </si>
  <si>
    <t>C-BTC-89600-291225</t>
  </si>
  <si>
    <t>P-BTC-86600-291225</t>
  </si>
  <si>
    <t>C-BTC-89200-301225</t>
  </si>
  <si>
    <t>P-BTC-85200-301225</t>
  </si>
  <si>
    <t>C-BTC-90600-311225</t>
  </si>
  <si>
    <t>P-BTC-86400-311225</t>
  </si>
  <si>
    <t>C-BTC-89800-010126</t>
  </si>
  <si>
    <t>P-BTC-85600-010126</t>
  </si>
  <si>
    <t>C-BTC-89400-020126</t>
  </si>
  <si>
    <t>P-BTC-87000-020126</t>
  </si>
  <si>
    <t>C-BTC-91800-030126</t>
  </si>
  <si>
    <t>P-BTC-88200-030126</t>
  </si>
  <si>
    <t>C-BTC-91000-040126</t>
  </si>
  <si>
    <t>P-BTC-89400-040126</t>
  </si>
  <si>
    <t>C-BTC-93600-050126</t>
  </si>
  <si>
    <t>P-BTC-88400-050126</t>
  </si>
  <si>
    <t>C-BTC-96000-060126</t>
  </si>
  <si>
    <t>P-BTC-91800-060126</t>
  </si>
  <si>
    <t>C-BTC-94800-070126</t>
  </si>
  <si>
    <t>P-BTC-89600-070126</t>
  </si>
  <si>
    <t>C-BTC-93600-080126</t>
  </si>
  <si>
    <t>P-BTC-88800-080126</t>
  </si>
  <si>
    <t>C-BTC-92800-090126</t>
  </si>
  <si>
    <t>P-BTC-89000-090126</t>
  </si>
  <si>
    <t>C-BTC-92200-100126</t>
  </si>
  <si>
    <t>P-BTC-88800-100126</t>
  </si>
  <si>
    <t>C-BTC-91000-110126</t>
  </si>
  <si>
    <t>P-BTC-90000-110126</t>
  </si>
  <si>
    <t>C-BTC-92800-120126</t>
  </si>
  <si>
    <t>P-BTC-89200-120126</t>
  </si>
  <si>
    <t>C-BTC-93600-130126</t>
  </si>
  <si>
    <t>P-BTC-89400-130126</t>
  </si>
  <si>
    <t>C-BTC-95200-140126</t>
  </si>
  <si>
    <t>P-BTC-91000-140126</t>
  </si>
  <si>
    <t>C-BTC-99600-150126</t>
  </si>
  <si>
    <t>P-BTC-94200-150126</t>
  </si>
  <si>
    <t>C-BTC-98400-160126</t>
  </si>
  <si>
    <t>P-BTC-93000-160126</t>
  </si>
  <si>
    <t>C-BTC-95800-170126</t>
  </si>
  <si>
    <t>P-BTC-94000-170126</t>
  </si>
  <si>
    <t>C-BTC-96000-180126</t>
  </si>
  <si>
    <t>P-BTC-95000-180126</t>
  </si>
  <si>
    <t>C-BTC-97200-190126</t>
  </si>
  <si>
    <t>P-BTC-93800-190126</t>
  </si>
  <si>
    <t>C-BTC-94800-200126</t>
  </si>
  <si>
    <t>P-BTC-90800-200126</t>
  </si>
  <si>
    <t>C-BTC-91600-210126</t>
  </si>
  <si>
    <t>P-BTC-87600-210126</t>
  </si>
  <si>
    <t>C-BTC-91200-220126</t>
  </si>
  <si>
    <t>P-BTC-85200-220126</t>
  </si>
  <si>
    <t>C-BTC-91600-230126</t>
  </si>
  <si>
    <t>P-BTC-86000-230126</t>
  </si>
  <si>
    <t>C-BTC-91600-240126</t>
  </si>
  <si>
    <t>P-BTC-89000-240126</t>
  </si>
  <si>
    <t>C-BTC-90200-250126</t>
  </si>
  <si>
    <t>P-BTC-88400-250126</t>
  </si>
  <si>
    <t>C-BTC-90400-260126</t>
  </si>
  <si>
    <t>P-BTC-85200-260126</t>
  </si>
  <si>
    <t>C-BTC-90400-270126</t>
  </si>
  <si>
    <t>P-BTC-86000-270126</t>
  </si>
  <si>
    <t>C-BTC-90000-280126</t>
  </si>
  <si>
    <t>P-BTC-86200-280126</t>
  </si>
  <si>
    <t>C-BTC-92400-290126</t>
  </si>
  <si>
    <t>P-BTC-86000-290126</t>
  </si>
  <si>
    <t>C-BTC-86800-300126</t>
  </si>
  <si>
    <t>P-BTC-79000-300126</t>
  </si>
  <si>
    <t>C-BTC-87000-310126</t>
  </si>
  <si>
    <t>P-BTC-80800-310126</t>
  </si>
  <si>
    <t>NET PNL</t>
  </si>
  <si>
    <t>daily avg return</t>
  </si>
  <si>
    <t>daily std dev</t>
  </si>
  <si>
    <t>annual returns</t>
  </si>
  <si>
    <t>total returns</t>
  </si>
  <si>
    <t>annual std dev</t>
  </si>
  <si>
    <t>rf</t>
  </si>
  <si>
    <t>sharpe with rf</t>
  </si>
  <si>
    <t>sharpe without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</si>
</sst>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F5E5-4091-4512-8030-01AB05426640}">
  <dimension ref="A1:U397"/>
  <sheetViews>
    <sheetView topLeftCell="C1" zoomScale="89" workbookViewId="0">
      <selection activeCell="X13" sqref="X13"/>
    </sheetView>
  </sheetViews>
  <sheetFormatPr baseColWidth="10" defaultColWidth="8.83203125" defaultRowHeight="15" x14ac:dyDescent="0.2"/>
  <cols>
    <col min="1" max="1" width="10.33203125" bestFit="1" customWidth="1"/>
    <col min="3" max="3" width="19.5" bestFit="1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322</v>
      </c>
      <c r="Q1" s="2" t="s">
        <v>323</v>
      </c>
      <c r="R1" s="2" t="s">
        <v>322</v>
      </c>
      <c r="S1" s="2" t="s">
        <v>323</v>
      </c>
      <c r="T1" s="2" t="s">
        <v>324</v>
      </c>
      <c r="U1" s="2" t="s">
        <v>325</v>
      </c>
    </row>
    <row r="2" spans="1:21" x14ac:dyDescent="0.2">
      <c r="A2" s="1">
        <v>45658</v>
      </c>
      <c r="B2">
        <v>93921</v>
      </c>
      <c r="C2" t="s">
        <v>15</v>
      </c>
      <c r="D2">
        <v>47</v>
      </c>
      <c r="E2">
        <v>188</v>
      </c>
      <c r="F2">
        <v>1</v>
      </c>
      <c r="G2">
        <v>46</v>
      </c>
      <c r="H2" t="s">
        <v>16</v>
      </c>
      <c r="I2">
        <v>49</v>
      </c>
      <c r="J2">
        <v>196</v>
      </c>
      <c r="K2">
        <v>1</v>
      </c>
      <c r="L2">
        <v>48</v>
      </c>
      <c r="M2">
        <v>94</v>
      </c>
      <c r="N2" t="s">
        <v>17</v>
      </c>
      <c r="O2" t="s">
        <v>17</v>
      </c>
      <c r="P2">
        <f>G2/D2</f>
        <v>0.97872340425531912</v>
      </c>
      <c r="Q2">
        <f>L2/I2</f>
        <v>0.97959183673469385</v>
      </c>
      <c r="R2">
        <f>IF(P2&gt;0.9,1,P2)</f>
        <v>1</v>
      </c>
      <c r="S2">
        <f>IF(Q2&gt;0.9,1,Q2)</f>
        <v>1</v>
      </c>
      <c r="T2">
        <f>S2+R2</f>
        <v>2</v>
      </c>
      <c r="U2">
        <f>T2</f>
        <v>2</v>
      </c>
    </row>
    <row r="3" spans="1:21" x14ac:dyDescent="0.2">
      <c r="A3" s="1">
        <v>45659</v>
      </c>
      <c r="B3">
        <v>94354.2</v>
      </c>
      <c r="C3" t="s">
        <v>18</v>
      </c>
      <c r="D3">
        <v>113</v>
      </c>
      <c r="E3">
        <v>452</v>
      </c>
      <c r="F3">
        <v>452</v>
      </c>
      <c r="G3">
        <v>-339</v>
      </c>
      <c r="H3" t="s">
        <v>19</v>
      </c>
      <c r="I3">
        <v>32</v>
      </c>
      <c r="J3">
        <v>128</v>
      </c>
      <c r="K3">
        <v>1</v>
      </c>
      <c r="L3">
        <v>31</v>
      </c>
      <c r="M3">
        <v>-308</v>
      </c>
      <c r="N3" t="s">
        <v>20</v>
      </c>
      <c r="O3" t="s">
        <v>17</v>
      </c>
      <c r="P3">
        <f t="shared" ref="P3:P66" si="0">G3/D3</f>
        <v>-3</v>
      </c>
      <c r="Q3">
        <f t="shared" ref="Q3:Q66" si="1">L3/I3</f>
        <v>0.96875</v>
      </c>
      <c r="R3">
        <f t="shared" ref="R3:R66" si="2">IF(P3&gt;0.9,1,P3)</f>
        <v>-3</v>
      </c>
      <c r="S3">
        <f t="shared" ref="S3:S66" si="3">IF(Q3&gt;0.9,1,Q3)</f>
        <v>1</v>
      </c>
      <c r="T3">
        <f t="shared" ref="T3:T66" si="4">S3+R3</f>
        <v>-2</v>
      </c>
      <c r="U3">
        <f>U2+T3</f>
        <v>0</v>
      </c>
    </row>
    <row r="4" spans="1:21" x14ac:dyDescent="0.2">
      <c r="A4" s="1">
        <v>45660</v>
      </c>
      <c r="B4">
        <v>97257.8</v>
      </c>
      <c r="C4" t="s">
        <v>21</v>
      </c>
      <c r="D4">
        <v>195</v>
      </c>
      <c r="E4">
        <v>780</v>
      </c>
      <c r="F4">
        <v>1</v>
      </c>
      <c r="G4">
        <v>194</v>
      </c>
      <c r="H4" t="s">
        <v>22</v>
      </c>
      <c r="I4">
        <v>105</v>
      </c>
      <c r="J4">
        <v>420</v>
      </c>
      <c r="K4">
        <v>1</v>
      </c>
      <c r="L4">
        <v>104</v>
      </c>
      <c r="M4">
        <v>298</v>
      </c>
      <c r="N4" t="s">
        <v>17</v>
      </c>
      <c r="O4" t="s">
        <v>17</v>
      </c>
      <c r="P4">
        <f t="shared" si="0"/>
        <v>0.99487179487179489</v>
      </c>
      <c r="Q4">
        <f t="shared" si="1"/>
        <v>0.99047619047619051</v>
      </c>
      <c r="R4">
        <f t="shared" si="2"/>
        <v>1</v>
      </c>
      <c r="S4">
        <f t="shared" si="3"/>
        <v>1</v>
      </c>
      <c r="T4">
        <f t="shared" si="4"/>
        <v>2</v>
      </c>
      <c r="U4">
        <f t="shared" ref="U4:U67" si="5">U3+T4</f>
        <v>2</v>
      </c>
    </row>
    <row r="5" spans="1:21" x14ac:dyDescent="0.2">
      <c r="A5" s="1">
        <v>45661</v>
      </c>
      <c r="B5">
        <v>98662</v>
      </c>
      <c r="C5" t="s">
        <v>23</v>
      </c>
      <c r="D5">
        <v>36</v>
      </c>
      <c r="E5">
        <v>144</v>
      </c>
      <c r="F5">
        <v>1</v>
      </c>
      <c r="G5">
        <v>35</v>
      </c>
      <c r="H5" t="s">
        <v>24</v>
      </c>
      <c r="I5">
        <v>30</v>
      </c>
      <c r="J5">
        <v>120</v>
      </c>
      <c r="K5">
        <v>1</v>
      </c>
      <c r="L5">
        <v>29</v>
      </c>
      <c r="M5">
        <v>64</v>
      </c>
      <c r="N5" t="s">
        <v>17</v>
      </c>
      <c r="O5" t="s">
        <v>17</v>
      </c>
      <c r="P5">
        <f t="shared" si="0"/>
        <v>0.97222222222222221</v>
      </c>
      <c r="Q5">
        <f t="shared" si="1"/>
        <v>0.96666666666666667</v>
      </c>
      <c r="R5">
        <f t="shared" si="2"/>
        <v>1</v>
      </c>
      <c r="S5">
        <f t="shared" si="3"/>
        <v>1</v>
      </c>
      <c r="T5">
        <f t="shared" si="4"/>
        <v>2</v>
      </c>
      <c r="U5">
        <f t="shared" si="5"/>
        <v>4</v>
      </c>
    </row>
    <row r="6" spans="1:21" x14ac:dyDescent="0.2">
      <c r="A6" s="1">
        <v>45662</v>
      </c>
      <c r="B6">
        <v>97983.9</v>
      </c>
      <c r="C6" t="s">
        <v>25</v>
      </c>
      <c r="D6">
        <v>40</v>
      </c>
      <c r="E6">
        <v>160</v>
      </c>
      <c r="F6">
        <v>1</v>
      </c>
      <c r="G6">
        <v>39</v>
      </c>
      <c r="H6" t="s">
        <v>26</v>
      </c>
      <c r="I6">
        <v>53.2</v>
      </c>
      <c r="J6">
        <v>212.8</v>
      </c>
      <c r="K6">
        <v>1</v>
      </c>
      <c r="L6">
        <v>52.2</v>
      </c>
      <c r="M6">
        <v>91.2</v>
      </c>
      <c r="N6" t="s">
        <v>17</v>
      </c>
      <c r="O6" t="s">
        <v>17</v>
      </c>
      <c r="P6">
        <f t="shared" si="0"/>
        <v>0.97499999999999998</v>
      </c>
      <c r="Q6">
        <f t="shared" si="1"/>
        <v>0.98120300751879697</v>
      </c>
      <c r="R6">
        <f t="shared" si="2"/>
        <v>1</v>
      </c>
      <c r="S6">
        <f t="shared" si="3"/>
        <v>1</v>
      </c>
      <c r="T6">
        <f t="shared" si="4"/>
        <v>2</v>
      </c>
      <c r="U6">
        <f t="shared" si="5"/>
        <v>6</v>
      </c>
    </row>
    <row r="7" spans="1:21" x14ac:dyDescent="0.2">
      <c r="A7" s="1">
        <v>45663</v>
      </c>
      <c r="B7">
        <v>97884.4</v>
      </c>
      <c r="C7" t="s">
        <v>27</v>
      </c>
      <c r="D7">
        <v>93</v>
      </c>
      <c r="E7">
        <v>372</v>
      </c>
      <c r="F7">
        <v>372</v>
      </c>
      <c r="G7">
        <v>-279</v>
      </c>
      <c r="H7" t="s">
        <v>28</v>
      </c>
      <c r="I7">
        <v>40</v>
      </c>
      <c r="J7">
        <v>160</v>
      </c>
      <c r="K7">
        <v>1</v>
      </c>
      <c r="L7">
        <v>39</v>
      </c>
      <c r="M7">
        <v>-240</v>
      </c>
      <c r="N7" t="s">
        <v>20</v>
      </c>
      <c r="O7" t="s">
        <v>17</v>
      </c>
      <c r="P7">
        <f t="shared" si="0"/>
        <v>-3</v>
      </c>
      <c r="Q7">
        <f t="shared" si="1"/>
        <v>0.97499999999999998</v>
      </c>
      <c r="R7">
        <f t="shared" si="2"/>
        <v>-3</v>
      </c>
      <c r="S7">
        <f t="shared" si="3"/>
        <v>1</v>
      </c>
      <c r="T7">
        <f t="shared" si="4"/>
        <v>-2</v>
      </c>
      <c r="U7">
        <f t="shared" si="5"/>
        <v>4</v>
      </c>
    </row>
    <row r="8" spans="1:21" x14ac:dyDescent="0.2">
      <c r="A8" s="1">
        <v>45664</v>
      </c>
      <c r="B8">
        <v>101714.4</v>
      </c>
      <c r="C8" t="s">
        <v>29</v>
      </c>
      <c r="D8">
        <v>49</v>
      </c>
      <c r="E8">
        <v>196</v>
      </c>
      <c r="F8">
        <v>1</v>
      </c>
      <c r="G8">
        <v>48</v>
      </c>
      <c r="H8" t="s">
        <v>30</v>
      </c>
      <c r="I8">
        <v>69</v>
      </c>
      <c r="J8">
        <v>276</v>
      </c>
      <c r="K8">
        <v>1</v>
      </c>
      <c r="L8">
        <v>68</v>
      </c>
      <c r="M8">
        <v>116</v>
      </c>
      <c r="N8" t="s">
        <v>17</v>
      </c>
      <c r="O8" t="s">
        <v>17</v>
      </c>
      <c r="P8">
        <f t="shared" si="0"/>
        <v>0.97959183673469385</v>
      </c>
      <c r="Q8">
        <f t="shared" si="1"/>
        <v>0.98550724637681164</v>
      </c>
      <c r="R8">
        <f t="shared" si="2"/>
        <v>1</v>
      </c>
      <c r="S8">
        <f t="shared" si="3"/>
        <v>1</v>
      </c>
      <c r="T8">
        <f t="shared" si="4"/>
        <v>2</v>
      </c>
      <c r="U8">
        <f t="shared" si="5"/>
        <v>6</v>
      </c>
    </row>
    <row r="9" spans="1:21" x14ac:dyDescent="0.2">
      <c r="A9" s="1">
        <v>45665</v>
      </c>
      <c r="B9">
        <v>96838.8</v>
      </c>
      <c r="C9" t="s">
        <v>31</v>
      </c>
      <c r="D9">
        <v>154</v>
      </c>
      <c r="E9">
        <v>616</v>
      </c>
      <c r="F9">
        <v>1</v>
      </c>
      <c r="G9">
        <v>153</v>
      </c>
      <c r="H9" t="s">
        <v>32</v>
      </c>
      <c r="I9">
        <v>88</v>
      </c>
      <c r="J9">
        <v>352</v>
      </c>
      <c r="K9">
        <v>1</v>
      </c>
      <c r="L9">
        <v>87</v>
      </c>
      <c r="M9">
        <v>240</v>
      </c>
      <c r="N9" t="s">
        <v>17</v>
      </c>
      <c r="O9" t="s">
        <v>17</v>
      </c>
      <c r="P9">
        <f t="shared" si="0"/>
        <v>0.99350649350649356</v>
      </c>
      <c r="Q9">
        <f t="shared" si="1"/>
        <v>0.98863636363636365</v>
      </c>
      <c r="R9">
        <f t="shared" si="2"/>
        <v>1</v>
      </c>
      <c r="S9">
        <f t="shared" si="3"/>
        <v>1</v>
      </c>
      <c r="T9">
        <f t="shared" si="4"/>
        <v>2</v>
      </c>
      <c r="U9">
        <f t="shared" si="5"/>
        <v>8</v>
      </c>
    </row>
    <row r="10" spans="1:21" x14ac:dyDescent="0.2">
      <c r="A10" s="1">
        <v>45666</v>
      </c>
      <c r="B10">
        <v>94322.4</v>
      </c>
      <c r="C10" t="s">
        <v>33</v>
      </c>
      <c r="D10">
        <v>53</v>
      </c>
      <c r="E10">
        <v>212</v>
      </c>
      <c r="F10">
        <v>1</v>
      </c>
      <c r="G10">
        <v>52</v>
      </c>
      <c r="H10" t="s">
        <v>34</v>
      </c>
      <c r="I10">
        <v>169</v>
      </c>
      <c r="J10">
        <v>676</v>
      </c>
      <c r="K10">
        <v>1</v>
      </c>
      <c r="L10">
        <v>168</v>
      </c>
      <c r="M10">
        <v>220</v>
      </c>
      <c r="N10" t="s">
        <v>17</v>
      </c>
      <c r="O10" t="s">
        <v>17</v>
      </c>
      <c r="P10">
        <f t="shared" si="0"/>
        <v>0.98113207547169812</v>
      </c>
      <c r="Q10">
        <f t="shared" si="1"/>
        <v>0.99408284023668636</v>
      </c>
      <c r="R10">
        <f t="shared" si="2"/>
        <v>1</v>
      </c>
      <c r="S10">
        <f t="shared" si="3"/>
        <v>1</v>
      </c>
      <c r="T10">
        <f t="shared" si="4"/>
        <v>2</v>
      </c>
      <c r="U10">
        <f t="shared" si="5"/>
        <v>10</v>
      </c>
    </row>
    <row r="11" spans="1:21" x14ac:dyDescent="0.2">
      <c r="A11" s="1">
        <v>45667</v>
      </c>
      <c r="B11">
        <v>92864.3</v>
      </c>
      <c r="C11" t="s">
        <v>35</v>
      </c>
      <c r="D11">
        <v>54</v>
      </c>
      <c r="E11">
        <v>216</v>
      </c>
      <c r="F11">
        <v>1</v>
      </c>
      <c r="G11">
        <v>53</v>
      </c>
      <c r="H11" t="s">
        <v>36</v>
      </c>
      <c r="I11">
        <v>50</v>
      </c>
      <c r="J11">
        <v>200</v>
      </c>
      <c r="K11">
        <v>1</v>
      </c>
      <c r="L11">
        <v>49</v>
      </c>
      <c r="M11">
        <v>102</v>
      </c>
      <c r="N11" t="s">
        <v>17</v>
      </c>
      <c r="O11" t="s">
        <v>17</v>
      </c>
      <c r="P11">
        <f t="shared" si="0"/>
        <v>0.98148148148148151</v>
      </c>
      <c r="Q11">
        <f t="shared" si="1"/>
        <v>0.98</v>
      </c>
      <c r="R11">
        <f t="shared" si="2"/>
        <v>1</v>
      </c>
      <c r="S11">
        <f t="shared" si="3"/>
        <v>1</v>
      </c>
      <c r="T11">
        <f t="shared" si="4"/>
        <v>2</v>
      </c>
      <c r="U11">
        <f t="shared" si="5"/>
        <v>12</v>
      </c>
    </row>
    <row r="12" spans="1:21" x14ac:dyDescent="0.2">
      <c r="A12" s="1">
        <v>45668</v>
      </c>
      <c r="B12">
        <v>94792.4</v>
      </c>
      <c r="C12" t="s">
        <v>37</v>
      </c>
      <c r="D12">
        <v>87</v>
      </c>
      <c r="E12">
        <v>348</v>
      </c>
      <c r="F12">
        <v>1</v>
      </c>
      <c r="G12">
        <v>86</v>
      </c>
      <c r="H12" t="s">
        <v>38</v>
      </c>
      <c r="I12">
        <v>55</v>
      </c>
      <c r="J12">
        <v>220</v>
      </c>
      <c r="K12">
        <v>1</v>
      </c>
      <c r="L12">
        <v>54</v>
      </c>
      <c r="M12">
        <v>140</v>
      </c>
      <c r="N12" t="s">
        <v>17</v>
      </c>
      <c r="O12" t="s">
        <v>17</v>
      </c>
      <c r="P12">
        <f t="shared" si="0"/>
        <v>0.9885057471264368</v>
      </c>
      <c r="Q12">
        <f t="shared" si="1"/>
        <v>0.98181818181818181</v>
      </c>
      <c r="R12">
        <f t="shared" si="2"/>
        <v>1</v>
      </c>
      <c r="S12">
        <f t="shared" si="3"/>
        <v>1</v>
      </c>
      <c r="T12">
        <f t="shared" si="4"/>
        <v>2</v>
      </c>
      <c r="U12">
        <f t="shared" si="5"/>
        <v>14</v>
      </c>
    </row>
    <row r="13" spans="1:21" x14ac:dyDescent="0.2">
      <c r="A13" s="1">
        <v>45669</v>
      </c>
      <c r="B13">
        <v>94239.5</v>
      </c>
      <c r="C13" t="s">
        <v>39</v>
      </c>
      <c r="D13">
        <v>32</v>
      </c>
      <c r="E13">
        <v>128</v>
      </c>
      <c r="F13">
        <v>1</v>
      </c>
      <c r="G13">
        <v>31</v>
      </c>
      <c r="H13" t="s">
        <v>40</v>
      </c>
      <c r="I13">
        <v>43</v>
      </c>
      <c r="J13">
        <v>172</v>
      </c>
      <c r="K13">
        <v>1</v>
      </c>
      <c r="L13">
        <v>42</v>
      </c>
      <c r="M13">
        <v>73</v>
      </c>
      <c r="N13" t="s">
        <v>17</v>
      </c>
      <c r="O13" t="s">
        <v>17</v>
      </c>
      <c r="P13">
        <f t="shared" si="0"/>
        <v>0.96875</v>
      </c>
      <c r="Q13">
        <f t="shared" si="1"/>
        <v>0.97674418604651159</v>
      </c>
      <c r="R13">
        <f t="shared" si="2"/>
        <v>1</v>
      </c>
      <c r="S13">
        <f t="shared" si="3"/>
        <v>1</v>
      </c>
      <c r="T13">
        <f t="shared" si="4"/>
        <v>2</v>
      </c>
      <c r="U13">
        <f t="shared" si="5"/>
        <v>16</v>
      </c>
    </row>
    <row r="14" spans="1:21" x14ac:dyDescent="0.2">
      <c r="A14" s="1">
        <v>45670</v>
      </c>
      <c r="B14">
        <v>95005.3</v>
      </c>
      <c r="C14" t="s">
        <v>41</v>
      </c>
      <c r="D14">
        <v>262</v>
      </c>
      <c r="E14">
        <v>1048</v>
      </c>
      <c r="F14">
        <v>1</v>
      </c>
      <c r="G14">
        <v>261</v>
      </c>
      <c r="H14" t="s">
        <v>42</v>
      </c>
      <c r="I14">
        <v>34</v>
      </c>
      <c r="J14">
        <v>136</v>
      </c>
      <c r="K14">
        <v>136</v>
      </c>
      <c r="L14">
        <v>-102</v>
      </c>
      <c r="M14">
        <v>159</v>
      </c>
      <c r="N14" t="s">
        <v>17</v>
      </c>
      <c r="O14" t="s">
        <v>20</v>
      </c>
      <c r="P14">
        <f t="shared" si="0"/>
        <v>0.99618320610687028</v>
      </c>
      <c r="Q14">
        <f t="shared" si="1"/>
        <v>-3</v>
      </c>
      <c r="R14">
        <f t="shared" si="2"/>
        <v>1</v>
      </c>
      <c r="S14">
        <f t="shared" si="3"/>
        <v>-3</v>
      </c>
      <c r="T14">
        <f t="shared" si="4"/>
        <v>-2</v>
      </c>
      <c r="U14">
        <f t="shared" si="5"/>
        <v>14</v>
      </c>
    </row>
    <row r="15" spans="1:21" x14ac:dyDescent="0.2">
      <c r="A15" s="1">
        <v>45671</v>
      </c>
      <c r="B15">
        <v>92092.1</v>
      </c>
      <c r="C15" t="s">
        <v>43</v>
      </c>
      <c r="D15">
        <v>179</v>
      </c>
      <c r="E15">
        <v>716</v>
      </c>
      <c r="F15">
        <v>716</v>
      </c>
      <c r="G15">
        <v>-537</v>
      </c>
      <c r="H15" t="s">
        <v>44</v>
      </c>
      <c r="I15">
        <v>72</v>
      </c>
      <c r="J15">
        <v>288</v>
      </c>
      <c r="K15">
        <v>1</v>
      </c>
      <c r="L15">
        <v>71</v>
      </c>
      <c r="M15">
        <v>-466</v>
      </c>
      <c r="N15" t="s">
        <v>20</v>
      </c>
      <c r="O15" t="s">
        <v>17</v>
      </c>
      <c r="P15">
        <f t="shared" si="0"/>
        <v>-3</v>
      </c>
      <c r="Q15">
        <f t="shared" si="1"/>
        <v>0.98611111111111116</v>
      </c>
      <c r="R15">
        <f t="shared" si="2"/>
        <v>-3</v>
      </c>
      <c r="S15">
        <f t="shared" si="3"/>
        <v>1</v>
      </c>
      <c r="T15">
        <f t="shared" si="4"/>
        <v>-2</v>
      </c>
      <c r="U15">
        <f t="shared" si="5"/>
        <v>12</v>
      </c>
    </row>
    <row r="16" spans="1:21" x14ac:dyDescent="0.2">
      <c r="A16" s="1">
        <v>45672</v>
      </c>
      <c r="B16">
        <v>96689.7</v>
      </c>
      <c r="C16" t="s">
        <v>45</v>
      </c>
      <c r="D16">
        <v>50</v>
      </c>
      <c r="E16">
        <v>200</v>
      </c>
      <c r="F16">
        <v>1</v>
      </c>
      <c r="G16">
        <v>49</v>
      </c>
      <c r="H16" t="s">
        <v>46</v>
      </c>
      <c r="I16">
        <v>35</v>
      </c>
      <c r="J16">
        <v>140</v>
      </c>
      <c r="K16">
        <v>1</v>
      </c>
      <c r="L16">
        <v>34</v>
      </c>
      <c r="M16">
        <v>83</v>
      </c>
      <c r="N16" t="s">
        <v>17</v>
      </c>
      <c r="O16" t="s">
        <v>17</v>
      </c>
      <c r="P16">
        <f t="shared" si="0"/>
        <v>0.98</v>
      </c>
      <c r="Q16">
        <f t="shared" si="1"/>
        <v>0.97142857142857142</v>
      </c>
      <c r="R16">
        <f t="shared" si="2"/>
        <v>1</v>
      </c>
      <c r="S16">
        <f t="shared" si="3"/>
        <v>1</v>
      </c>
      <c r="T16">
        <f t="shared" si="4"/>
        <v>2</v>
      </c>
      <c r="U16">
        <f t="shared" si="5"/>
        <v>14</v>
      </c>
    </row>
    <row r="17" spans="1:21" x14ac:dyDescent="0.2">
      <c r="A17" s="1">
        <v>45673</v>
      </c>
      <c r="B17">
        <v>99449.1</v>
      </c>
      <c r="C17" t="s">
        <v>47</v>
      </c>
      <c r="D17">
        <v>79</v>
      </c>
      <c r="E17">
        <v>316</v>
      </c>
      <c r="F17">
        <v>1</v>
      </c>
      <c r="G17">
        <v>78</v>
      </c>
      <c r="H17" t="s">
        <v>48</v>
      </c>
      <c r="I17">
        <v>83</v>
      </c>
      <c r="J17">
        <v>332</v>
      </c>
      <c r="K17">
        <v>1</v>
      </c>
      <c r="L17">
        <v>82</v>
      </c>
      <c r="M17">
        <v>160</v>
      </c>
      <c r="N17" t="s">
        <v>17</v>
      </c>
      <c r="O17" t="s">
        <v>17</v>
      </c>
      <c r="P17">
        <f t="shared" si="0"/>
        <v>0.98734177215189878</v>
      </c>
      <c r="Q17">
        <f t="shared" si="1"/>
        <v>0.98795180722891562</v>
      </c>
      <c r="R17">
        <f t="shared" si="2"/>
        <v>1</v>
      </c>
      <c r="S17">
        <f t="shared" si="3"/>
        <v>1</v>
      </c>
      <c r="T17">
        <f t="shared" si="4"/>
        <v>2</v>
      </c>
      <c r="U17">
        <f t="shared" si="5"/>
        <v>16</v>
      </c>
    </row>
    <row r="18" spans="1:21" x14ac:dyDescent="0.2">
      <c r="A18" s="1">
        <v>45674</v>
      </c>
      <c r="B18">
        <v>99433.3</v>
      </c>
      <c r="C18" t="s">
        <v>49</v>
      </c>
      <c r="D18">
        <v>459</v>
      </c>
      <c r="E18">
        <v>1836</v>
      </c>
      <c r="F18">
        <v>1836</v>
      </c>
      <c r="G18">
        <v>-1377</v>
      </c>
      <c r="H18" t="s">
        <v>50</v>
      </c>
      <c r="I18">
        <v>99</v>
      </c>
      <c r="J18">
        <v>396</v>
      </c>
      <c r="K18">
        <v>1</v>
      </c>
      <c r="L18">
        <v>98</v>
      </c>
      <c r="M18">
        <v>-1279</v>
      </c>
      <c r="N18" t="s">
        <v>20</v>
      </c>
      <c r="O18" t="s">
        <v>17</v>
      </c>
      <c r="P18">
        <f t="shared" si="0"/>
        <v>-3</v>
      </c>
      <c r="Q18">
        <f t="shared" si="1"/>
        <v>0.98989898989898994</v>
      </c>
      <c r="R18">
        <f t="shared" si="2"/>
        <v>-3</v>
      </c>
      <c r="S18">
        <f t="shared" si="3"/>
        <v>1</v>
      </c>
      <c r="T18">
        <f t="shared" si="4"/>
        <v>-2</v>
      </c>
      <c r="U18">
        <f t="shared" si="5"/>
        <v>14</v>
      </c>
    </row>
    <row r="19" spans="1:21" x14ac:dyDescent="0.2">
      <c r="A19" s="1">
        <v>45675</v>
      </c>
      <c r="B19">
        <v>104833.60000000001</v>
      </c>
      <c r="C19" t="s">
        <v>51</v>
      </c>
      <c r="D19">
        <v>150</v>
      </c>
      <c r="E19">
        <v>600</v>
      </c>
      <c r="F19">
        <v>1</v>
      </c>
      <c r="G19">
        <v>149</v>
      </c>
      <c r="H19" t="s">
        <v>52</v>
      </c>
      <c r="I19">
        <v>78</v>
      </c>
      <c r="J19">
        <v>312</v>
      </c>
      <c r="K19">
        <v>1</v>
      </c>
      <c r="L19">
        <v>77</v>
      </c>
      <c r="M19">
        <v>226</v>
      </c>
      <c r="N19" t="s">
        <v>17</v>
      </c>
      <c r="O19" t="s">
        <v>17</v>
      </c>
      <c r="P19">
        <f t="shared" si="0"/>
        <v>0.99333333333333329</v>
      </c>
      <c r="Q19">
        <f t="shared" si="1"/>
        <v>0.98717948717948723</v>
      </c>
      <c r="R19">
        <f t="shared" si="2"/>
        <v>1</v>
      </c>
      <c r="S19">
        <f t="shared" si="3"/>
        <v>1</v>
      </c>
      <c r="T19">
        <f t="shared" si="4"/>
        <v>2</v>
      </c>
      <c r="U19">
        <f t="shared" si="5"/>
        <v>16</v>
      </c>
    </row>
    <row r="20" spans="1:21" x14ac:dyDescent="0.2">
      <c r="A20" s="1">
        <v>45676</v>
      </c>
      <c r="B20">
        <v>104217.2</v>
      </c>
      <c r="C20" t="s">
        <v>53</v>
      </c>
      <c r="D20">
        <v>38</v>
      </c>
      <c r="E20">
        <v>152</v>
      </c>
      <c r="F20">
        <v>1</v>
      </c>
      <c r="G20">
        <v>37</v>
      </c>
      <c r="H20" t="s">
        <v>54</v>
      </c>
      <c r="I20">
        <v>51</v>
      </c>
      <c r="J20">
        <v>204</v>
      </c>
      <c r="K20">
        <v>1</v>
      </c>
      <c r="L20">
        <v>50</v>
      </c>
      <c r="M20">
        <v>87</v>
      </c>
      <c r="N20" t="s">
        <v>17</v>
      </c>
      <c r="O20" t="s">
        <v>17</v>
      </c>
      <c r="P20">
        <f t="shared" si="0"/>
        <v>0.97368421052631582</v>
      </c>
      <c r="Q20">
        <f t="shared" si="1"/>
        <v>0.98039215686274506</v>
      </c>
      <c r="R20">
        <f t="shared" si="2"/>
        <v>1</v>
      </c>
      <c r="S20">
        <f t="shared" si="3"/>
        <v>1</v>
      </c>
      <c r="T20">
        <f t="shared" si="4"/>
        <v>2</v>
      </c>
      <c r="U20">
        <f t="shared" si="5"/>
        <v>18</v>
      </c>
    </row>
    <row r="21" spans="1:21" x14ac:dyDescent="0.2">
      <c r="A21" s="1">
        <v>45677</v>
      </c>
      <c r="B21">
        <v>104999</v>
      </c>
      <c r="C21" t="s">
        <v>55</v>
      </c>
      <c r="D21">
        <v>86</v>
      </c>
      <c r="E21">
        <v>344</v>
      </c>
      <c r="F21">
        <v>344</v>
      </c>
      <c r="G21">
        <v>-258</v>
      </c>
      <c r="H21" t="s">
        <v>56</v>
      </c>
      <c r="I21">
        <v>103</v>
      </c>
      <c r="J21">
        <v>412</v>
      </c>
      <c r="K21">
        <v>412</v>
      </c>
      <c r="L21">
        <v>-309</v>
      </c>
      <c r="M21">
        <v>-567</v>
      </c>
      <c r="N21" t="s">
        <v>20</v>
      </c>
      <c r="O21" t="s">
        <v>20</v>
      </c>
      <c r="P21">
        <f t="shared" si="0"/>
        <v>-3</v>
      </c>
      <c r="Q21">
        <f t="shared" si="1"/>
        <v>-3</v>
      </c>
      <c r="R21">
        <f t="shared" si="2"/>
        <v>-3</v>
      </c>
      <c r="S21">
        <f t="shared" si="3"/>
        <v>-3</v>
      </c>
      <c r="T21">
        <f t="shared" si="4"/>
        <v>-6</v>
      </c>
      <c r="U21">
        <f t="shared" si="5"/>
        <v>12</v>
      </c>
    </row>
    <row r="22" spans="1:21" x14ac:dyDescent="0.2">
      <c r="A22" s="1">
        <v>45678</v>
      </c>
      <c r="B22">
        <v>103645.8</v>
      </c>
      <c r="C22" t="s">
        <v>57</v>
      </c>
      <c r="D22">
        <v>230</v>
      </c>
      <c r="E22">
        <v>920</v>
      </c>
      <c r="F22">
        <v>1</v>
      </c>
      <c r="G22">
        <v>229</v>
      </c>
      <c r="H22" t="s">
        <v>58</v>
      </c>
      <c r="I22">
        <v>165</v>
      </c>
      <c r="J22">
        <v>660</v>
      </c>
      <c r="K22">
        <v>1</v>
      </c>
      <c r="L22">
        <v>164</v>
      </c>
      <c r="M22">
        <v>393</v>
      </c>
      <c r="N22" t="s">
        <v>17</v>
      </c>
      <c r="O22" t="s">
        <v>17</v>
      </c>
      <c r="P22">
        <f t="shared" si="0"/>
        <v>0.9956521739130435</v>
      </c>
      <c r="Q22">
        <f t="shared" si="1"/>
        <v>0.9939393939393939</v>
      </c>
      <c r="R22">
        <f t="shared" si="2"/>
        <v>1</v>
      </c>
      <c r="S22">
        <f t="shared" si="3"/>
        <v>1</v>
      </c>
      <c r="T22">
        <f t="shared" si="4"/>
        <v>2</v>
      </c>
      <c r="U22">
        <f t="shared" si="5"/>
        <v>14</v>
      </c>
    </row>
    <row r="23" spans="1:21" x14ac:dyDescent="0.2">
      <c r="A23" s="1">
        <v>45679</v>
      </c>
      <c r="B23">
        <v>106675.1</v>
      </c>
      <c r="C23" t="s">
        <v>59</v>
      </c>
      <c r="D23">
        <v>64</v>
      </c>
      <c r="E23">
        <v>256</v>
      </c>
      <c r="F23">
        <v>1</v>
      </c>
      <c r="G23">
        <v>63</v>
      </c>
      <c r="H23" t="s">
        <v>60</v>
      </c>
      <c r="I23">
        <v>62</v>
      </c>
      <c r="J23">
        <v>248</v>
      </c>
      <c r="K23">
        <v>1</v>
      </c>
      <c r="L23">
        <v>61</v>
      </c>
      <c r="M23">
        <v>124</v>
      </c>
      <c r="N23" t="s">
        <v>17</v>
      </c>
      <c r="O23" t="s">
        <v>17</v>
      </c>
      <c r="P23">
        <f t="shared" si="0"/>
        <v>0.984375</v>
      </c>
      <c r="Q23">
        <f t="shared" si="1"/>
        <v>0.9838709677419355</v>
      </c>
      <c r="R23">
        <f t="shared" si="2"/>
        <v>1</v>
      </c>
      <c r="S23">
        <f t="shared" si="3"/>
        <v>1</v>
      </c>
      <c r="T23">
        <f t="shared" si="4"/>
        <v>2</v>
      </c>
      <c r="U23">
        <f t="shared" si="5"/>
        <v>16</v>
      </c>
    </row>
    <row r="24" spans="1:21" x14ac:dyDescent="0.2">
      <c r="A24" s="1">
        <v>45680</v>
      </c>
      <c r="B24">
        <v>104060.8</v>
      </c>
      <c r="C24" t="s">
        <v>61</v>
      </c>
      <c r="D24">
        <v>35</v>
      </c>
      <c r="E24">
        <v>140</v>
      </c>
      <c r="F24">
        <v>1</v>
      </c>
      <c r="G24">
        <v>34</v>
      </c>
      <c r="H24" t="s">
        <v>62</v>
      </c>
      <c r="I24">
        <v>69</v>
      </c>
      <c r="J24">
        <v>276</v>
      </c>
      <c r="K24">
        <v>1</v>
      </c>
      <c r="L24">
        <v>68</v>
      </c>
      <c r="M24">
        <v>102</v>
      </c>
      <c r="N24" t="s">
        <v>17</v>
      </c>
      <c r="O24" t="s">
        <v>17</v>
      </c>
      <c r="P24">
        <f t="shared" si="0"/>
        <v>0.97142857142857142</v>
      </c>
      <c r="Q24">
        <f t="shared" si="1"/>
        <v>0.98550724637681164</v>
      </c>
      <c r="R24">
        <f t="shared" si="2"/>
        <v>1</v>
      </c>
      <c r="S24">
        <f t="shared" si="3"/>
        <v>1</v>
      </c>
      <c r="T24">
        <f t="shared" si="4"/>
        <v>2</v>
      </c>
      <c r="U24">
        <f t="shared" si="5"/>
        <v>18</v>
      </c>
    </row>
    <row r="25" spans="1:21" x14ac:dyDescent="0.2">
      <c r="A25" s="1">
        <v>45681</v>
      </c>
      <c r="B25">
        <v>105436.5</v>
      </c>
      <c r="C25" t="s">
        <v>63</v>
      </c>
      <c r="D25">
        <v>79</v>
      </c>
      <c r="E25">
        <v>316</v>
      </c>
      <c r="F25">
        <v>1</v>
      </c>
      <c r="G25">
        <v>78</v>
      </c>
      <c r="H25" t="s">
        <v>64</v>
      </c>
      <c r="I25">
        <v>343</v>
      </c>
      <c r="J25">
        <v>1372</v>
      </c>
      <c r="K25">
        <v>1</v>
      </c>
      <c r="L25">
        <v>342</v>
      </c>
      <c r="M25">
        <v>420</v>
      </c>
      <c r="N25" t="s">
        <v>17</v>
      </c>
      <c r="O25" t="s">
        <v>17</v>
      </c>
      <c r="P25">
        <f t="shared" si="0"/>
        <v>0.98734177215189878</v>
      </c>
      <c r="Q25">
        <f t="shared" si="1"/>
        <v>0.99708454810495628</v>
      </c>
      <c r="R25">
        <f t="shared" si="2"/>
        <v>1</v>
      </c>
      <c r="S25">
        <f t="shared" si="3"/>
        <v>1</v>
      </c>
      <c r="T25">
        <f t="shared" si="4"/>
        <v>2</v>
      </c>
      <c r="U25">
        <f t="shared" si="5"/>
        <v>20</v>
      </c>
    </row>
    <row r="26" spans="1:21" x14ac:dyDescent="0.2">
      <c r="A26" s="1">
        <v>45682</v>
      </c>
      <c r="B26">
        <v>106350.6</v>
      </c>
      <c r="C26" t="s">
        <v>65</v>
      </c>
      <c r="D26">
        <v>53</v>
      </c>
      <c r="E26">
        <v>212</v>
      </c>
      <c r="F26">
        <v>1</v>
      </c>
      <c r="G26">
        <v>52</v>
      </c>
      <c r="H26" t="s">
        <v>66</v>
      </c>
      <c r="I26">
        <v>50</v>
      </c>
      <c r="J26">
        <v>200</v>
      </c>
      <c r="K26">
        <v>1</v>
      </c>
      <c r="L26">
        <v>49</v>
      </c>
      <c r="M26">
        <v>101</v>
      </c>
      <c r="N26" t="s">
        <v>17</v>
      </c>
      <c r="O26" t="s">
        <v>17</v>
      </c>
      <c r="P26">
        <f t="shared" si="0"/>
        <v>0.98113207547169812</v>
      </c>
      <c r="Q26">
        <f t="shared" si="1"/>
        <v>0.98</v>
      </c>
      <c r="R26">
        <f t="shared" si="2"/>
        <v>1</v>
      </c>
      <c r="S26">
        <f t="shared" si="3"/>
        <v>1</v>
      </c>
      <c r="T26">
        <f t="shared" si="4"/>
        <v>2</v>
      </c>
      <c r="U26">
        <f t="shared" si="5"/>
        <v>22</v>
      </c>
    </row>
    <row r="27" spans="1:21" x14ac:dyDescent="0.2">
      <c r="A27" s="1">
        <v>45683</v>
      </c>
      <c r="B27">
        <v>105003.9</v>
      </c>
      <c r="C27" t="s">
        <v>67</v>
      </c>
      <c r="D27">
        <v>31</v>
      </c>
      <c r="E27">
        <v>124</v>
      </c>
      <c r="F27">
        <v>1</v>
      </c>
      <c r="G27">
        <v>30</v>
      </c>
      <c r="H27" t="s">
        <v>68</v>
      </c>
      <c r="I27">
        <v>44</v>
      </c>
      <c r="J27">
        <v>176</v>
      </c>
      <c r="K27">
        <v>1</v>
      </c>
      <c r="L27">
        <v>43</v>
      </c>
      <c r="M27">
        <v>73</v>
      </c>
      <c r="N27" t="s">
        <v>17</v>
      </c>
      <c r="O27" t="s">
        <v>17</v>
      </c>
      <c r="P27">
        <f t="shared" si="0"/>
        <v>0.967741935483871</v>
      </c>
      <c r="Q27">
        <f t="shared" si="1"/>
        <v>0.97727272727272729</v>
      </c>
      <c r="R27">
        <f t="shared" si="2"/>
        <v>1</v>
      </c>
      <c r="S27">
        <f t="shared" si="3"/>
        <v>1</v>
      </c>
      <c r="T27">
        <f t="shared" si="4"/>
        <v>2</v>
      </c>
      <c r="U27">
        <f t="shared" si="5"/>
        <v>24</v>
      </c>
    </row>
    <row r="28" spans="1:21" x14ac:dyDescent="0.2">
      <c r="A28" s="1">
        <v>45684</v>
      </c>
      <c r="B28">
        <v>105217.9</v>
      </c>
      <c r="C28" t="s">
        <v>69</v>
      </c>
      <c r="D28">
        <v>30</v>
      </c>
      <c r="E28">
        <v>120</v>
      </c>
      <c r="F28">
        <v>1</v>
      </c>
      <c r="G28">
        <v>29</v>
      </c>
      <c r="H28" t="s">
        <v>70</v>
      </c>
      <c r="I28">
        <v>187</v>
      </c>
      <c r="J28">
        <v>748</v>
      </c>
      <c r="K28">
        <v>748</v>
      </c>
      <c r="L28">
        <v>-561</v>
      </c>
      <c r="M28">
        <v>-532</v>
      </c>
      <c r="N28" t="s">
        <v>17</v>
      </c>
      <c r="O28" t="s">
        <v>20</v>
      </c>
      <c r="P28">
        <f t="shared" si="0"/>
        <v>0.96666666666666667</v>
      </c>
      <c r="Q28">
        <f t="shared" si="1"/>
        <v>-3</v>
      </c>
      <c r="R28">
        <f t="shared" si="2"/>
        <v>1</v>
      </c>
      <c r="S28">
        <f t="shared" si="3"/>
        <v>-3</v>
      </c>
      <c r="T28">
        <f t="shared" si="4"/>
        <v>-2</v>
      </c>
      <c r="U28">
        <f t="shared" si="5"/>
        <v>22</v>
      </c>
    </row>
    <row r="29" spans="1:21" x14ac:dyDescent="0.2">
      <c r="A29" s="1">
        <v>45685</v>
      </c>
      <c r="B29">
        <v>99451.4</v>
      </c>
      <c r="C29" t="s">
        <v>71</v>
      </c>
      <c r="D29">
        <v>30</v>
      </c>
      <c r="E29">
        <v>120</v>
      </c>
      <c r="F29">
        <v>1</v>
      </c>
      <c r="G29">
        <v>29</v>
      </c>
      <c r="H29" t="s">
        <v>72</v>
      </c>
      <c r="I29">
        <v>84</v>
      </c>
      <c r="J29">
        <v>336</v>
      </c>
      <c r="K29">
        <v>1</v>
      </c>
      <c r="L29">
        <v>83</v>
      </c>
      <c r="M29">
        <v>112</v>
      </c>
      <c r="N29" t="s">
        <v>17</v>
      </c>
      <c r="O29" t="s">
        <v>17</v>
      </c>
      <c r="P29">
        <f t="shared" si="0"/>
        <v>0.96666666666666667</v>
      </c>
      <c r="Q29">
        <f t="shared" si="1"/>
        <v>0.98809523809523814</v>
      </c>
      <c r="R29">
        <f t="shared" si="2"/>
        <v>1</v>
      </c>
      <c r="S29">
        <f t="shared" si="3"/>
        <v>1</v>
      </c>
      <c r="T29">
        <f t="shared" si="4"/>
        <v>2</v>
      </c>
      <c r="U29">
        <f t="shared" si="5"/>
        <v>24</v>
      </c>
    </row>
    <row r="30" spans="1:21" x14ac:dyDescent="0.2">
      <c r="A30" s="1">
        <v>45686</v>
      </c>
      <c r="B30">
        <v>102184.4</v>
      </c>
      <c r="C30" t="s">
        <v>73</v>
      </c>
      <c r="D30">
        <v>90</v>
      </c>
      <c r="E30">
        <v>360</v>
      </c>
      <c r="F30">
        <v>1</v>
      </c>
      <c r="G30">
        <v>89</v>
      </c>
      <c r="H30" t="s">
        <v>74</v>
      </c>
      <c r="I30">
        <v>48</v>
      </c>
      <c r="J30">
        <v>192</v>
      </c>
      <c r="K30">
        <v>1</v>
      </c>
      <c r="L30">
        <v>47</v>
      </c>
      <c r="M30">
        <v>136</v>
      </c>
      <c r="N30" t="s">
        <v>17</v>
      </c>
      <c r="O30" t="s">
        <v>17</v>
      </c>
      <c r="P30">
        <f t="shared" si="0"/>
        <v>0.98888888888888893</v>
      </c>
      <c r="Q30">
        <f t="shared" si="1"/>
        <v>0.97916666666666663</v>
      </c>
      <c r="R30">
        <f t="shared" si="2"/>
        <v>1</v>
      </c>
      <c r="S30">
        <f t="shared" si="3"/>
        <v>1</v>
      </c>
      <c r="T30">
        <f t="shared" si="4"/>
        <v>2</v>
      </c>
      <c r="U30">
        <f t="shared" si="5"/>
        <v>26</v>
      </c>
    </row>
    <row r="31" spans="1:21" x14ac:dyDescent="0.2">
      <c r="A31" s="1">
        <v>45687</v>
      </c>
      <c r="B31">
        <v>102577.4</v>
      </c>
      <c r="C31" t="s">
        <v>75</v>
      </c>
      <c r="D31">
        <v>58</v>
      </c>
      <c r="E31">
        <v>232</v>
      </c>
      <c r="F31">
        <v>1</v>
      </c>
      <c r="G31">
        <v>57</v>
      </c>
      <c r="H31" t="s">
        <v>76</v>
      </c>
      <c r="I31">
        <v>54</v>
      </c>
      <c r="J31">
        <v>216</v>
      </c>
      <c r="K31">
        <v>1</v>
      </c>
      <c r="L31">
        <v>53</v>
      </c>
      <c r="M31">
        <v>110</v>
      </c>
      <c r="N31" t="s">
        <v>17</v>
      </c>
      <c r="O31" t="s">
        <v>17</v>
      </c>
      <c r="P31">
        <f t="shared" si="0"/>
        <v>0.98275862068965514</v>
      </c>
      <c r="Q31">
        <f t="shared" si="1"/>
        <v>0.98148148148148151</v>
      </c>
      <c r="R31">
        <f t="shared" si="2"/>
        <v>1</v>
      </c>
      <c r="S31">
        <f t="shared" si="3"/>
        <v>1</v>
      </c>
      <c r="T31">
        <f t="shared" si="4"/>
        <v>2</v>
      </c>
      <c r="U31">
        <f t="shared" si="5"/>
        <v>28</v>
      </c>
    </row>
    <row r="32" spans="1:21" x14ac:dyDescent="0.2">
      <c r="A32" s="1">
        <v>45688</v>
      </c>
      <c r="B32">
        <v>105537.60000000001</v>
      </c>
      <c r="C32" t="s">
        <v>77</v>
      </c>
      <c r="D32">
        <v>423.9</v>
      </c>
      <c r="E32">
        <v>1695.6</v>
      </c>
      <c r="F32">
        <v>1</v>
      </c>
      <c r="G32">
        <v>422.9</v>
      </c>
      <c r="H32" t="s">
        <v>78</v>
      </c>
      <c r="I32">
        <v>36</v>
      </c>
      <c r="J32">
        <v>144</v>
      </c>
      <c r="K32">
        <v>1</v>
      </c>
      <c r="L32">
        <v>35</v>
      </c>
      <c r="M32">
        <v>457.9</v>
      </c>
      <c r="N32" t="s">
        <v>17</v>
      </c>
      <c r="O32" t="s">
        <v>17</v>
      </c>
      <c r="P32">
        <f t="shared" si="0"/>
        <v>0.99764095305496581</v>
      </c>
      <c r="Q32">
        <f t="shared" si="1"/>
        <v>0.97222222222222221</v>
      </c>
      <c r="R32">
        <f t="shared" si="2"/>
        <v>1</v>
      </c>
      <c r="S32">
        <f t="shared" si="3"/>
        <v>1</v>
      </c>
      <c r="T32">
        <f t="shared" si="4"/>
        <v>2</v>
      </c>
      <c r="U32">
        <f t="shared" si="5"/>
        <v>30</v>
      </c>
    </row>
    <row r="33" spans="1:21" x14ac:dyDescent="0.2">
      <c r="A33" s="1">
        <v>45689</v>
      </c>
      <c r="B33">
        <v>102724.4</v>
      </c>
      <c r="C33" t="s">
        <v>79</v>
      </c>
      <c r="D33">
        <v>38</v>
      </c>
      <c r="E33">
        <v>152</v>
      </c>
      <c r="F33">
        <v>1</v>
      </c>
      <c r="G33">
        <v>37</v>
      </c>
      <c r="H33" t="s">
        <v>80</v>
      </c>
      <c r="I33">
        <v>37</v>
      </c>
      <c r="J33">
        <v>148</v>
      </c>
      <c r="K33">
        <v>1</v>
      </c>
      <c r="L33">
        <v>36</v>
      </c>
      <c r="M33">
        <v>73</v>
      </c>
      <c r="N33" t="s">
        <v>17</v>
      </c>
      <c r="O33" t="s">
        <v>17</v>
      </c>
      <c r="P33">
        <f t="shared" si="0"/>
        <v>0.97368421052631582</v>
      </c>
      <c r="Q33">
        <f t="shared" si="1"/>
        <v>0.97297297297297303</v>
      </c>
      <c r="R33">
        <f t="shared" si="2"/>
        <v>1</v>
      </c>
      <c r="S33">
        <f t="shared" si="3"/>
        <v>1</v>
      </c>
      <c r="T33">
        <f t="shared" si="4"/>
        <v>2</v>
      </c>
      <c r="U33">
        <f t="shared" si="5"/>
        <v>32</v>
      </c>
    </row>
    <row r="34" spans="1:21" x14ac:dyDescent="0.2">
      <c r="A34" s="1">
        <v>45690</v>
      </c>
      <c r="B34">
        <v>102022.3</v>
      </c>
      <c r="C34" t="s">
        <v>81</v>
      </c>
      <c r="D34">
        <v>113</v>
      </c>
      <c r="E34">
        <v>452</v>
      </c>
      <c r="F34">
        <v>1</v>
      </c>
      <c r="G34">
        <v>112</v>
      </c>
      <c r="H34" t="s">
        <v>82</v>
      </c>
      <c r="I34">
        <v>97</v>
      </c>
      <c r="J34">
        <v>388</v>
      </c>
      <c r="K34">
        <v>388</v>
      </c>
      <c r="L34">
        <v>-291</v>
      </c>
      <c r="M34">
        <v>-179</v>
      </c>
      <c r="N34" t="s">
        <v>17</v>
      </c>
      <c r="O34" t="s">
        <v>20</v>
      </c>
      <c r="P34">
        <f t="shared" si="0"/>
        <v>0.99115044247787609</v>
      </c>
      <c r="Q34">
        <f t="shared" si="1"/>
        <v>-3</v>
      </c>
      <c r="R34">
        <f t="shared" si="2"/>
        <v>1</v>
      </c>
      <c r="S34">
        <f t="shared" si="3"/>
        <v>-3</v>
      </c>
      <c r="T34">
        <f t="shared" si="4"/>
        <v>-2</v>
      </c>
      <c r="U34">
        <f t="shared" si="5"/>
        <v>30</v>
      </c>
    </row>
    <row r="35" spans="1:21" x14ac:dyDescent="0.2">
      <c r="A35" s="1">
        <v>45691</v>
      </c>
      <c r="B35">
        <v>97006.5</v>
      </c>
      <c r="C35" t="s">
        <v>83</v>
      </c>
      <c r="D35">
        <v>167</v>
      </c>
      <c r="E35">
        <v>668</v>
      </c>
      <c r="F35">
        <v>1</v>
      </c>
      <c r="G35">
        <v>166</v>
      </c>
      <c r="H35" t="s">
        <v>84</v>
      </c>
      <c r="I35">
        <v>294</v>
      </c>
      <c r="J35">
        <v>1176</v>
      </c>
      <c r="K35">
        <v>1176</v>
      </c>
      <c r="L35">
        <v>-882</v>
      </c>
      <c r="M35">
        <v>-716</v>
      </c>
      <c r="N35" t="s">
        <v>17</v>
      </c>
      <c r="O35" t="s">
        <v>20</v>
      </c>
      <c r="P35">
        <f t="shared" si="0"/>
        <v>0.99401197604790414</v>
      </c>
      <c r="Q35">
        <f t="shared" si="1"/>
        <v>-3</v>
      </c>
      <c r="R35">
        <f t="shared" si="2"/>
        <v>1</v>
      </c>
      <c r="S35">
        <f t="shared" si="3"/>
        <v>-3</v>
      </c>
      <c r="T35">
        <f t="shared" si="4"/>
        <v>-2</v>
      </c>
      <c r="U35">
        <f t="shared" si="5"/>
        <v>28</v>
      </c>
    </row>
    <row r="36" spans="1:21" x14ac:dyDescent="0.2">
      <c r="A36" s="1">
        <v>45692</v>
      </c>
      <c r="B36">
        <v>100087.4</v>
      </c>
      <c r="C36" t="s">
        <v>85</v>
      </c>
      <c r="D36">
        <v>90</v>
      </c>
      <c r="E36">
        <v>360</v>
      </c>
      <c r="F36">
        <v>1</v>
      </c>
      <c r="G36">
        <v>89</v>
      </c>
      <c r="H36" t="s">
        <v>86</v>
      </c>
      <c r="I36">
        <v>51</v>
      </c>
      <c r="J36">
        <v>204</v>
      </c>
      <c r="K36">
        <v>1</v>
      </c>
      <c r="L36">
        <v>50</v>
      </c>
      <c r="M36">
        <v>139</v>
      </c>
      <c r="N36" t="s">
        <v>17</v>
      </c>
      <c r="O36" t="s">
        <v>17</v>
      </c>
      <c r="P36">
        <f t="shared" si="0"/>
        <v>0.98888888888888893</v>
      </c>
      <c r="Q36">
        <f t="shared" si="1"/>
        <v>0.98039215686274506</v>
      </c>
      <c r="R36">
        <f t="shared" si="2"/>
        <v>1</v>
      </c>
      <c r="S36">
        <f t="shared" si="3"/>
        <v>1</v>
      </c>
      <c r="T36">
        <f t="shared" si="4"/>
        <v>2</v>
      </c>
      <c r="U36">
        <f t="shared" si="5"/>
        <v>30</v>
      </c>
    </row>
    <row r="37" spans="1:21" x14ac:dyDescent="0.2">
      <c r="A37" s="1">
        <v>45693</v>
      </c>
      <c r="B37">
        <v>99353.4</v>
      </c>
      <c r="C37" t="s">
        <v>87</v>
      </c>
      <c r="D37">
        <v>234</v>
      </c>
      <c r="E37">
        <v>936</v>
      </c>
      <c r="F37">
        <v>1</v>
      </c>
      <c r="G37">
        <v>233</v>
      </c>
      <c r="H37" t="s">
        <v>88</v>
      </c>
      <c r="I37">
        <v>60</v>
      </c>
      <c r="J37">
        <v>240</v>
      </c>
      <c r="K37">
        <v>1</v>
      </c>
      <c r="L37">
        <v>59</v>
      </c>
      <c r="M37">
        <v>292</v>
      </c>
      <c r="N37" t="s">
        <v>17</v>
      </c>
      <c r="O37" t="s">
        <v>17</v>
      </c>
      <c r="P37">
        <f t="shared" si="0"/>
        <v>0.99572649572649574</v>
      </c>
      <c r="Q37">
        <f t="shared" si="1"/>
        <v>0.98333333333333328</v>
      </c>
      <c r="R37">
        <f t="shared" si="2"/>
        <v>1</v>
      </c>
      <c r="S37">
        <f t="shared" si="3"/>
        <v>1</v>
      </c>
      <c r="T37">
        <f t="shared" si="4"/>
        <v>2</v>
      </c>
      <c r="U37">
        <f t="shared" si="5"/>
        <v>32</v>
      </c>
    </row>
    <row r="38" spans="1:21" x14ac:dyDescent="0.2">
      <c r="A38" s="1">
        <v>45694</v>
      </c>
      <c r="B38">
        <v>96652.7</v>
      </c>
      <c r="C38" t="s">
        <v>89</v>
      </c>
      <c r="D38">
        <v>49</v>
      </c>
      <c r="E38">
        <v>196</v>
      </c>
      <c r="F38">
        <v>1</v>
      </c>
      <c r="G38">
        <v>48</v>
      </c>
      <c r="H38" t="s">
        <v>90</v>
      </c>
      <c r="I38">
        <v>64</v>
      </c>
      <c r="J38">
        <v>256</v>
      </c>
      <c r="K38">
        <v>1</v>
      </c>
      <c r="L38">
        <v>63</v>
      </c>
      <c r="M38">
        <v>111</v>
      </c>
      <c r="N38" t="s">
        <v>17</v>
      </c>
      <c r="O38" t="s">
        <v>17</v>
      </c>
      <c r="P38">
        <f t="shared" si="0"/>
        <v>0.97959183673469385</v>
      </c>
      <c r="Q38">
        <f t="shared" si="1"/>
        <v>0.984375</v>
      </c>
      <c r="R38">
        <f t="shared" si="2"/>
        <v>1</v>
      </c>
      <c r="S38">
        <f t="shared" si="3"/>
        <v>1</v>
      </c>
      <c r="T38">
        <f t="shared" si="4"/>
        <v>2</v>
      </c>
      <c r="U38">
        <f t="shared" si="5"/>
        <v>34</v>
      </c>
    </row>
    <row r="39" spans="1:21" x14ac:dyDescent="0.2">
      <c r="A39" s="1">
        <v>45695</v>
      </c>
      <c r="B39">
        <v>96184.9</v>
      </c>
      <c r="C39" t="s">
        <v>91</v>
      </c>
      <c r="D39">
        <v>46</v>
      </c>
      <c r="E39">
        <v>184</v>
      </c>
      <c r="F39">
        <v>1</v>
      </c>
      <c r="G39">
        <v>45</v>
      </c>
      <c r="H39" t="s">
        <v>92</v>
      </c>
      <c r="I39">
        <v>50</v>
      </c>
      <c r="J39">
        <v>200</v>
      </c>
      <c r="K39">
        <v>1</v>
      </c>
      <c r="L39">
        <v>49</v>
      </c>
      <c r="M39">
        <v>94</v>
      </c>
      <c r="N39" t="s">
        <v>17</v>
      </c>
      <c r="O39" t="s">
        <v>17</v>
      </c>
      <c r="P39">
        <f t="shared" si="0"/>
        <v>0.97826086956521741</v>
      </c>
      <c r="Q39">
        <f t="shared" si="1"/>
        <v>0.98</v>
      </c>
      <c r="R39">
        <f t="shared" si="2"/>
        <v>1</v>
      </c>
      <c r="S39">
        <f t="shared" si="3"/>
        <v>1</v>
      </c>
      <c r="T39">
        <f t="shared" si="4"/>
        <v>2</v>
      </c>
      <c r="U39">
        <f t="shared" si="5"/>
        <v>36</v>
      </c>
    </row>
    <row r="40" spans="1:21" x14ac:dyDescent="0.2">
      <c r="A40" s="1">
        <v>45696</v>
      </c>
      <c r="B40">
        <v>97769.7</v>
      </c>
      <c r="C40" t="s">
        <v>93</v>
      </c>
      <c r="D40">
        <v>55</v>
      </c>
      <c r="E40">
        <v>220</v>
      </c>
      <c r="F40">
        <v>1</v>
      </c>
      <c r="G40">
        <v>54</v>
      </c>
      <c r="H40" t="s">
        <v>94</v>
      </c>
      <c r="I40">
        <v>46</v>
      </c>
      <c r="J40">
        <v>184</v>
      </c>
      <c r="K40">
        <v>1</v>
      </c>
      <c r="L40">
        <v>45</v>
      </c>
      <c r="M40">
        <v>99</v>
      </c>
      <c r="N40" t="s">
        <v>17</v>
      </c>
      <c r="O40" t="s">
        <v>17</v>
      </c>
      <c r="P40">
        <f t="shared" si="0"/>
        <v>0.98181818181818181</v>
      </c>
      <c r="Q40">
        <f t="shared" si="1"/>
        <v>0.97826086956521741</v>
      </c>
      <c r="R40">
        <f t="shared" si="2"/>
        <v>1</v>
      </c>
      <c r="S40">
        <f t="shared" si="3"/>
        <v>1</v>
      </c>
      <c r="T40">
        <f t="shared" si="4"/>
        <v>2</v>
      </c>
      <c r="U40">
        <f t="shared" si="5"/>
        <v>38</v>
      </c>
    </row>
    <row r="41" spans="1:21" x14ac:dyDescent="0.2">
      <c r="A41" s="1">
        <v>45697</v>
      </c>
      <c r="B41">
        <v>96511.4</v>
      </c>
      <c r="C41" t="s">
        <v>95</v>
      </c>
      <c r="D41">
        <v>45</v>
      </c>
      <c r="E41">
        <v>180</v>
      </c>
      <c r="F41">
        <v>1</v>
      </c>
      <c r="G41">
        <v>44</v>
      </c>
      <c r="H41" t="s">
        <v>96</v>
      </c>
      <c r="I41">
        <v>72</v>
      </c>
      <c r="J41">
        <v>288</v>
      </c>
      <c r="K41">
        <v>1</v>
      </c>
      <c r="L41">
        <v>71</v>
      </c>
      <c r="M41">
        <v>115</v>
      </c>
      <c r="N41" t="s">
        <v>17</v>
      </c>
      <c r="O41" t="s">
        <v>17</v>
      </c>
      <c r="P41">
        <f t="shared" si="0"/>
        <v>0.97777777777777775</v>
      </c>
      <c r="Q41">
        <f t="shared" si="1"/>
        <v>0.98611111111111116</v>
      </c>
      <c r="R41">
        <f t="shared" si="2"/>
        <v>1</v>
      </c>
      <c r="S41">
        <f t="shared" si="3"/>
        <v>1</v>
      </c>
      <c r="T41">
        <f t="shared" si="4"/>
        <v>2</v>
      </c>
      <c r="U41">
        <f t="shared" si="5"/>
        <v>40</v>
      </c>
    </row>
    <row r="42" spans="1:21" x14ac:dyDescent="0.2">
      <c r="A42" s="1">
        <v>45698</v>
      </c>
      <c r="B42">
        <v>96157</v>
      </c>
      <c r="C42" t="s">
        <v>97</v>
      </c>
      <c r="D42">
        <v>56</v>
      </c>
      <c r="E42">
        <v>224</v>
      </c>
      <c r="F42">
        <v>1</v>
      </c>
      <c r="G42">
        <v>55</v>
      </c>
      <c r="H42" t="s">
        <v>98</v>
      </c>
      <c r="I42">
        <v>404</v>
      </c>
      <c r="J42">
        <v>1616</v>
      </c>
      <c r="K42">
        <v>1</v>
      </c>
      <c r="L42">
        <v>403</v>
      </c>
      <c r="M42">
        <v>458</v>
      </c>
      <c r="N42" t="s">
        <v>17</v>
      </c>
      <c r="O42" t="s">
        <v>17</v>
      </c>
      <c r="P42">
        <f t="shared" si="0"/>
        <v>0.9821428571428571</v>
      </c>
      <c r="Q42">
        <f t="shared" si="1"/>
        <v>0.99752475247524752</v>
      </c>
      <c r="R42">
        <f t="shared" si="2"/>
        <v>1</v>
      </c>
      <c r="S42">
        <f t="shared" si="3"/>
        <v>1</v>
      </c>
      <c r="T42">
        <f t="shared" si="4"/>
        <v>2</v>
      </c>
      <c r="U42">
        <f t="shared" si="5"/>
        <v>42</v>
      </c>
    </row>
    <row r="43" spans="1:21" x14ac:dyDescent="0.2">
      <c r="A43" s="1">
        <v>45699</v>
      </c>
      <c r="B43">
        <v>97542.1</v>
      </c>
      <c r="C43" t="s">
        <v>99</v>
      </c>
      <c r="D43">
        <v>77</v>
      </c>
      <c r="E43">
        <v>308</v>
      </c>
      <c r="F43">
        <v>1</v>
      </c>
      <c r="G43">
        <v>76</v>
      </c>
      <c r="H43" t="s">
        <v>100</v>
      </c>
      <c r="I43">
        <v>35</v>
      </c>
      <c r="J43">
        <v>140</v>
      </c>
      <c r="K43">
        <v>1</v>
      </c>
      <c r="L43">
        <v>34</v>
      </c>
      <c r="M43">
        <v>110</v>
      </c>
      <c r="N43" t="s">
        <v>17</v>
      </c>
      <c r="O43" t="s">
        <v>17</v>
      </c>
      <c r="P43">
        <f t="shared" si="0"/>
        <v>0.98701298701298701</v>
      </c>
      <c r="Q43">
        <f t="shared" si="1"/>
        <v>0.97142857142857142</v>
      </c>
      <c r="R43">
        <f t="shared" si="2"/>
        <v>1</v>
      </c>
      <c r="S43">
        <f t="shared" si="3"/>
        <v>1</v>
      </c>
      <c r="T43">
        <f t="shared" si="4"/>
        <v>2</v>
      </c>
      <c r="U43">
        <f t="shared" si="5"/>
        <v>44</v>
      </c>
    </row>
    <row r="44" spans="1:21" x14ac:dyDescent="0.2">
      <c r="A44" s="1">
        <v>45700</v>
      </c>
      <c r="B44">
        <v>95533.3</v>
      </c>
      <c r="C44" t="s">
        <v>101</v>
      </c>
      <c r="D44">
        <v>36</v>
      </c>
      <c r="E44">
        <v>144</v>
      </c>
      <c r="F44">
        <v>1</v>
      </c>
      <c r="G44">
        <v>35</v>
      </c>
      <c r="H44" t="s">
        <v>102</v>
      </c>
      <c r="I44">
        <v>50</v>
      </c>
      <c r="J44">
        <v>200</v>
      </c>
      <c r="K44">
        <v>1</v>
      </c>
      <c r="L44">
        <v>49</v>
      </c>
      <c r="M44">
        <v>84</v>
      </c>
      <c r="N44" t="s">
        <v>17</v>
      </c>
      <c r="O44" t="s">
        <v>17</v>
      </c>
      <c r="P44">
        <f t="shared" si="0"/>
        <v>0.97222222222222221</v>
      </c>
      <c r="Q44">
        <f t="shared" si="1"/>
        <v>0.98</v>
      </c>
      <c r="R44">
        <f t="shared" si="2"/>
        <v>1</v>
      </c>
      <c r="S44">
        <f t="shared" si="3"/>
        <v>1</v>
      </c>
      <c r="T44">
        <f t="shared" si="4"/>
        <v>2</v>
      </c>
      <c r="U44">
        <f t="shared" si="5"/>
        <v>46</v>
      </c>
    </row>
    <row r="45" spans="1:21" x14ac:dyDescent="0.2">
      <c r="A45" s="1">
        <v>45701</v>
      </c>
      <c r="B45">
        <v>96920.3</v>
      </c>
      <c r="C45" t="s">
        <v>103</v>
      </c>
      <c r="D45">
        <v>156</v>
      </c>
      <c r="E45">
        <v>624</v>
      </c>
      <c r="F45">
        <v>1</v>
      </c>
      <c r="G45">
        <v>155</v>
      </c>
      <c r="H45" t="s">
        <v>104</v>
      </c>
      <c r="I45">
        <v>65</v>
      </c>
      <c r="J45">
        <v>260</v>
      </c>
      <c r="K45">
        <v>1</v>
      </c>
      <c r="L45">
        <v>64</v>
      </c>
      <c r="M45">
        <v>219</v>
      </c>
      <c r="N45" t="s">
        <v>17</v>
      </c>
      <c r="O45" t="s">
        <v>17</v>
      </c>
      <c r="P45">
        <f t="shared" si="0"/>
        <v>0.99358974358974361</v>
      </c>
      <c r="Q45">
        <f t="shared" si="1"/>
        <v>0.98461538461538467</v>
      </c>
      <c r="R45">
        <f t="shared" si="2"/>
        <v>1</v>
      </c>
      <c r="S45">
        <f t="shared" si="3"/>
        <v>1</v>
      </c>
      <c r="T45">
        <f t="shared" si="4"/>
        <v>2</v>
      </c>
      <c r="U45">
        <f t="shared" si="5"/>
        <v>48</v>
      </c>
    </row>
    <row r="46" spans="1:21" x14ac:dyDescent="0.2">
      <c r="A46" s="1">
        <v>45702</v>
      </c>
      <c r="B46">
        <v>95984.9</v>
      </c>
      <c r="C46" t="s">
        <v>105</v>
      </c>
      <c r="D46">
        <v>111</v>
      </c>
      <c r="E46">
        <v>444</v>
      </c>
      <c r="F46">
        <v>1</v>
      </c>
      <c r="G46">
        <v>110</v>
      </c>
      <c r="H46" t="s">
        <v>106</v>
      </c>
      <c r="I46">
        <v>40</v>
      </c>
      <c r="J46">
        <v>160</v>
      </c>
      <c r="K46">
        <v>1</v>
      </c>
      <c r="L46">
        <v>39</v>
      </c>
      <c r="M46">
        <v>149</v>
      </c>
      <c r="N46" t="s">
        <v>17</v>
      </c>
      <c r="O46" t="s">
        <v>17</v>
      </c>
      <c r="P46">
        <f t="shared" si="0"/>
        <v>0.99099099099099097</v>
      </c>
      <c r="Q46">
        <f t="shared" si="1"/>
        <v>0.97499999999999998</v>
      </c>
      <c r="R46">
        <f t="shared" si="2"/>
        <v>1</v>
      </c>
      <c r="S46">
        <f t="shared" si="3"/>
        <v>1</v>
      </c>
      <c r="T46">
        <f t="shared" si="4"/>
        <v>2</v>
      </c>
      <c r="U46">
        <f t="shared" si="5"/>
        <v>50</v>
      </c>
    </row>
    <row r="47" spans="1:21" x14ac:dyDescent="0.2">
      <c r="A47" s="1">
        <v>45703</v>
      </c>
      <c r="B47">
        <v>98302.2</v>
      </c>
      <c r="C47" t="s">
        <v>107</v>
      </c>
      <c r="D47">
        <v>30</v>
      </c>
      <c r="E47">
        <v>120</v>
      </c>
      <c r="F47">
        <v>1</v>
      </c>
      <c r="G47">
        <v>29</v>
      </c>
      <c r="H47" t="s">
        <v>108</v>
      </c>
      <c r="I47">
        <v>66</v>
      </c>
      <c r="J47">
        <v>264</v>
      </c>
      <c r="K47">
        <v>1</v>
      </c>
      <c r="L47">
        <v>65</v>
      </c>
      <c r="M47">
        <v>94</v>
      </c>
      <c r="N47" t="s">
        <v>17</v>
      </c>
      <c r="O47" t="s">
        <v>17</v>
      </c>
      <c r="P47">
        <f t="shared" si="0"/>
        <v>0.96666666666666667</v>
      </c>
      <c r="Q47">
        <f t="shared" si="1"/>
        <v>0.98484848484848486</v>
      </c>
      <c r="R47">
        <f t="shared" si="2"/>
        <v>1</v>
      </c>
      <c r="S47">
        <f t="shared" si="3"/>
        <v>1</v>
      </c>
      <c r="T47">
        <f t="shared" si="4"/>
        <v>2</v>
      </c>
      <c r="U47">
        <f t="shared" si="5"/>
        <v>52</v>
      </c>
    </row>
    <row r="48" spans="1:21" x14ac:dyDescent="0.2">
      <c r="A48" s="1">
        <v>45704</v>
      </c>
      <c r="B48">
        <v>97588.6</v>
      </c>
      <c r="C48" t="s">
        <v>109</v>
      </c>
      <c r="D48">
        <v>35</v>
      </c>
      <c r="E48">
        <v>140</v>
      </c>
      <c r="F48">
        <v>1</v>
      </c>
      <c r="G48">
        <v>34</v>
      </c>
      <c r="H48" t="s">
        <v>110</v>
      </c>
      <c r="I48">
        <v>31</v>
      </c>
      <c r="J48">
        <v>124</v>
      </c>
      <c r="K48">
        <v>1</v>
      </c>
      <c r="L48">
        <v>30</v>
      </c>
      <c r="M48">
        <v>64</v>
      </c>
      <c r="N48" t="s">
        <v>17</v>
      </c>
      <c r="O48" t="s">
        <v>17</v>
      </c>
      <c r="P48">
        <f t="shared" si="0"/>
        <v>0.97142857142857142</v>
      </c>
      <c r="Q48">
        <f t="shared" si="1"/>
        <v>0.967741935483871</v>
      </c>
      <c r="R48">
        <f t="shared" si="2"/>
        <v>1</v>
      </c>
      <c r="S48">
        <f t="shared" si="3"/>
        <v>1</v>
      </c>
      <c r="T48">
        <f t="shared" si="4"/>
        <v>2</v>
      </c>
      <c r="U48">
        <f t="shared" si="5"/>
        <v>54</v>
      </c>
    </row>
    <row r="49" spans="1:21" x14ac:dyDescent="0.2">
      <c r="A49" s="1">
        <v>45705</v>
      </c>
      <c r="B49">
        <v>96891.3</v>
      </c>
      <c r="C49" t="s">
        <v>111</v>
      </c>
      <c r="D49">
        <v>53</v>
      </c>
      <c r="E49">
        <v>212</v>
      </c>
      <c r="F49">
        <v>1</v>
      </c>
      <c r="G49">
        <v>52</v>
      </c>
      <c r="H49" t="s">
        <v>112</v>
      </c>
      <c r="I49">
        <v>41</v>
      </c>
      <c r="J49">
        <v>164</v>
      </c>
      <c r="K49">
        <v>1</v>
      </c>
      <c r="L49">
        <v>40</v>
      </c>
      <c r="M49">
        <v>92</v>
      </c>
      <c r="N49" t="s">
        <v>17</v>
      </c>
      <c r="O49" t="s">
        <v>17</v>
      </c>
      <c r="P49">
        <f t="shared" si="0"/>
        <v>0.98113207547169812</v>
      </c>
      <c r="Q49">
        <f t="shared" si="1"/>
        <v>0.97560975609756095</v>
      </c>
      <c r="R49">
        <f t="shared" si="2"/>
        <v>1</v>
      </c>
      <c r="S49">
        <f t="shared" si="3"/>
        <v>1</v>
      </c>
      <c r="T49">
        <f t="shared" si="4"/>
        <v>2</v>
      </c>
      <c r="U49">
        <f t="shared" si="5"/>
        <v>56</v>
      </c>
    </row>
    <row r="50" spans="1:21" x14ac:dyDescent="0.2">
      <c r="A50" s="1">
        <v>45706</v>
      </c>
      <c r="B50">
        <v>95250.9</v>
      </c>
      <c r="C50" t="s">
        <v>113</v>
      </c>
      <c r="D50">
        <v>32</v>
      </c>
      <c r="E50">
        <v>128</v>
      </c>
      <c r="F50">
        <v>1</v>
      </c>
      <c r="G50">
        <v>31</v>
      </c>
      <c r="H50" t="s">
        <v>114</v>
      </c>
      <c r="I50">
        <v>321</v>
      </c>
      <c r="J50">
        <v>1284</v>
      </c>
      <c r="K50">
        <v>1</v>
      </c>
      <c r="L50">
        <v>320</v>
      </c>
      <c r="M50">
        <v>351</v>
      </c>
      <c r="N50" t="s">
        <v>17</v>
      </c>
      <c r="O50" t="s">
        <v>17</v>
      </c>
      <c r="P50">
        <f t="shared" si="0"/>
        <v>0.96875</v>
      </c>
      <c r="Q50">
        <f t="shared" si="1"/>
        <v>0.99688473520249221</v>
      </c>
      <c r="R50">
        <f t="shared" si="2"/>
        <v>1</v>
      </c>
      <c r="S50">
        <f t="shared" si="3"/>
        <v>1</v>
      </c>
      <c r="T50">
        <f t="shared" si="4"/>
        <v>2</v>
      </c>
      <c r="U50">
        <f t="shared" si="5"/>
        <v>58</v>
      </c>
    </row>
    <row r="51" spans="1:21" x14ac:dyDescent="0.2">
      <c r="A51" s="1">
        <v>45707</v>
      </c>
      <c r="B51">
        <v>93817.600000000006</v>
      </c>
      <c r="C51" t="s">
        <v>115</v>
      </c>
      <c r="D51">
        <v>35</v>
      </c>
      <c r="E51">
        <v>140</v>
      </c>
      <c r="F51">
        <v>1</v>
      </c>
      <c r="G51">
        <v>34</v>
      </c>
      <c r="H51" t="s">
        <v>116</v>
      </c>
      <c r="I51">
        <v>125</v>
      </c>
      <c r="J51">
        <v>500</v>
      </c>
      <c r="K51">
        <v>1</v>
      </c>
      <c r="L51">
        <v>124</v>
      </c>
      <c r="M51">
        <v>158</v>
      </c>
      <c r="N51" t="s">
        <v>17</v>
      </c>
      <c r="O51" t="s">
        <v>17</v>
      </c>
      <c r="P51">
        <f t="shared" si="0"/>
        <v>0.97142857142857142</v>
      </c>
      <c r="Q51">
        <f t="shared" si="1"/>
        <v>0.99199999999999999</v>
      </c>
      <c r="R51">
        <f t="shared" si="2"/>
        <v>1</v>
      </c>
      <c r="S51">
        <f t="shared" si="3"/>
        <v>1</v>
      </c>
      <c r="T51">
        <f t="shared" si="4"/>
        <v>2</v>
      </c>
      <c r="U51">
        <f t="shared" si="5"/>
        <v>60</v>
      </c>
    </row>
    <row r="52" spans="1:21" x14ac:dyDescent="0.2">
      <c r="A52" s="1">
        <v>45708</v>
      </c>
      <c r="B52">
        <v>95624.8</v>
      </c>
      <c r="C52" t="s">
        <v>117</v>
      </c>
      <c r="D52">
        <v>55</v>
      </c>
      <c r="E52">
        <v>220</v>
      </c>
      <c r="F52">
        <v>220</v>
      </c>
      <c r="G52">
        <v>-165</v>
      </c>
      <c r="H52" t="s">
        <v>118</v>
      </c>
      <c r="I52">
        <v>99</v>
      </c>
      <c r="J52">
        <v>396</v>
      </c>
      <c r="K52">
        <v>1</v>
      </c>
      <c r="L52">
        <v>98</v>
      </c>
      <c r="M52">
        <v>-67</v>
      </c>
      <c r="N52" t="s">
        <v>20</v>
      </c>
      <c r="O52" t="s">
        <v>17</v>
      </c>
      <c r="P52">
        <f t="shared" si="0"/>
        <v>-3</v>
      </c>
      <c r="Q52">
        <f t="shared" si="1"/>
        <v>0.98989898989898994</v>
      </c>
      <c r="R52">
        <f t="shared" si="2"/>
        <v>-3</v>
      </c>
      <c r="S52">
        <f t="shared" si="3"/>
        <v>1</v>
      </c>
      <c r="T52">
        <f t="shared" si="4"/>
        <v>-2</v>
      </c>
      <c r="U52">
        <f t="shared" si="5"/>
        <v>58</v>
      </c>
    </row>
    <row r="53" spans="1:21" x14ac:dyDescent="0.2">
      <c r="A53" s="1">
        <v>45709</v>
      </c>
      <c r="B53">
        <v>98309.3</v>
      </c>
      <c r="C53" t="s">
        <v>119</v>
      </c>
      <c r="D53">
        <v>246</v>
      </c>
      <c r="E53">
        <v>984</v>
      </c>
      <c r="F53">
        <v>1</v>
      </c>
      <c r="G53">
        <v>245</v>
      </c>
      <c r="H53" t="s">
        <v>120</v>
      </c>
      <c r="I53">
        <v>80</v>
      </c>
      <c r="J53">
        <v>320</v>
      </c>
      <c r="K53">
        <v>1</v>
      </c>
      <c r="L53">
        <v>79</v>
      </c>
      <c r="M53">
        <v>324</v>
      </c>
      <c r="N53" t="s">
        <v>17</v>
      </c>
      <c r="O53" t="s">
        <v>17</v>
      </c>
      <c r="P53">
        <f t="shared" si="0"/>
        <v>0.99593495934959353</v>
      </c>
      <c r="Q53">
        <f t="shared" si="1"/>
        <v>0.98750000000000004</v>
      </c>
      <c r="R53">
        <f t="shared" si="2"/>
        <v>1</v>
      </c>
      <c r="S53">
        <f t="shared" si="3"/>
        <v>1</v>
      </c>
      <c r="T53">
        <f t="shared" si="4"/>
        <v>2</v>
      </c>
      <c r="U53">
        <f t="shared" si="5"/>
        <v>60</v>
      </c>
    </row>
    <row r="54" spans="1:21" x14ac:dyDescent="0.2">
      <c r="A54" s="1">
        <v>45710</v>
      </c>
      <c r="B54">
        <v>96392.1</v>
      </c>
      <c r="C54" t="s">
        <v>121</v>
      </c>
      <c r="D54">
        <v>31</v>
      </c>
      <c r="E54">
        <v>124</v>
      </c>
      <c r="F54">
        <v>1</v>
      </c>
      <c r="G54">
        <v>30</v>
      </c>
      <c r="H54" t="s">
        <v>122</v>
      </c>
      <c r="I54">
        <v>34</v>
      </c>
      <c r="J54">
        <v>136</v>
      </c>
      <c r="K54">
        <v>1</v>
      </c>
      <c r="L54">
        <v>33</v>
      </c>
      <c r="M54">
        <v>63</v>
      </c>
      <c r="N54" t="s">
        <v>17</v>
      </c>
      <c r="O54" t="s">
        <v>17</v>
      </c>
      <c r="P54">
        <f t="shared" si="0"/>
        <v>0.967741935483871</v>
      </c>
      <c r="Q54">
        <f t="shared" si="1"/>
        <v>0.97058823529411764</v>
      </c>
      <c r="R54">
        <f t="shared" si="2"/>
        <v>1</v>
      </c>
      <c r="S54">
        <f t="shared" si="3"/>
        <v>1</v>
      </c>
      <c r="T54">
        <f t="shared" si="4"/>
        <v>2</v>
      </c>
      <c r="U54">
        <f t="shared" si="5"/>
        <v>62</v>
      </c>
    </row>
    <row r="55" spans="1:21" x14ac:dyDescent="0.2">
      <c r="A55" s="1">
        <v>45711</v>
      </c>
      <c r="B55">
        <v>96433.7</v>
      </c>
      <c r="C55" t="s">
        <v>123</v>
      </c>
      <c r="D55">
        <v>199</v>
      </c>
      <c r="E55">
        <v>796</v>
      </c>
      <c r="F55">
        <v>1</v>
      </c>
      <c r="G55">
        <v>198</v>
      </c>
      <c r="H55" t="s">
        <v>124</v>
      </c>
      <c r="I55">
        <v>60</v>
      </c>
      <c r="J55">
        <v>240</v>
      </c>
      <c r="K55">
        <v>1</v>
      </c>
      <c r="L55">
        <v>59</v>
      </c>
      <c r="M55">
        <v>257</v>
      </c>
      <c r="N55" t="s">
        <v>17</v>
      </c>
      <c r="O55" t="s">
        <v>17</v>
      </c>
      <c r="P55">
        <f t="shared" si="0"/>
        <v>0.99497487437185927</v>
      </c>
      <c r="Q55">
        <f t="shared" si="1"/>
        <v>0.98333333333333328</v>
      </c>
      <c r="R55">
        <f t="shared" si="2"/>
        <v>1</v>
      </c>
      <c r="S55">
        <f t="shared" si="3"/>
        <v>1</v>
      </c>
      <c r="T55">
        <f t="shared" si="4"/>
        <v>2</v>
      </c>
      <c r="U55">
        <f t="shared" si="5"/>
        <v>64</v>
      </c>
    </row>
    <row r="56" spans="1:21" x14ac:dyDescent="0.2">
      <c r="A56" s="1">
        <v>45712</v>
      </c>
      <c r="B56">
        <v>95733.7</v>
      </c>
      <c r="C56" t="s">
        <v>125</v>
      </c>
      <c r="D56">
        <v>62</v>
      </c>
      <c r="E56">
        <v>248</v>
      </c>
      <c r="F56">
        <v>1</v>
      </c>
      <c r="G56">
        <v>61</v>
      </c>
      <c r="H56" t="s">
        <v>126</v>
      </c>
      <c r="I56">
        <v>30</v>
      </c>
      <c r="J56">
        <v>120</v>
      </c>
      <c r="K56">
        <v>1</v>
      </c>
      <c r="L56">
        <v>29</v>
      </c>
      <c r="M56">
        <v>90</v>
      </c>
      <c r="N56" t="s">
        <v>17</v>
      </c>
      <c r="O56" t="s">
        <v>17</v>
      </c>
      <c r="P56">
        <f t="shared" si="0"/>
        <v>0.9838709677419355</v>
      </c>
      <c r="Q56">
        <f t="shared" si="1"/>
        <v>0.96666666666666667</v>
      </c>
      <c r="R56">
        <f t="shared" si="2"/>
        <v>1</v>
      </c>
      <c r="S56">
        <f t="shared" si="3"/>
        <v>1</v>
      </c>
      <c r="T56">
        <f t="shared" si="4"/>
        <v>2</v>
      </c>
      <c r="U56">
        <f t="shared" si="5"/>
        <v>66</v>
      </c>
    </row>
    <row r="57" spans="1:21" x14ac:dyDescent="0.2">
      <c r="A57" s="1">
        <v>45713</v>
      </c>
      <c r="B57">
        <v>94230.5</v>
      </c>
      <c r="C57" t="s">
        <v>127</v>
      </c>
      <c r="D57">
        <v>37</v>
      </c>
      <c r="E57">
        <v>148</v>
      </c>
      <c r="F57">
        <v>1</v>
      </c>
      <c r="G57">
        <v>36</v>
      </c>
      <c r="H57" t="s">
        <v>128</v>
      </c>
      <c r="I57">
        <v>59</v>
      </c>
      <c r="J57">
        <v>236</v>
      </c>
      <c r="K57">
        <v>236</v>
      </c>
      <c r="L57">
        <v>-177</v>
      </c>
      <c r="M57">
        <v>-141</v>
      </c>
      <c r="N57" t="s">
        <v>17</v>
      </c>
      <c r="O57" t="s">
        <v>20</v>
      </c>
      <c r="P57">
        <f t="shared" si="0"/>
        <v>0.97297297297297303</v>
      </c>
      <c r="Q57">
        <f t="shared" si="1"/>
        <v>-3</v>
      </c>
      <c r="R57">
        <f t="shared" si="2"/>
        <v>1</v>
      </c>
      <c r="S57">
        <f t="shared" si="3"/>
        <v>-3</v>
      </c>
      <c r="T57">
        <f t="shared" si="4"/>
        <v>-2</v>
      </c>
      <c r="U57">
        <f t="shared" si="5"/>
        <v>64</v>
      </c>
    </row>
    <row r="58" spans="1:21" x14ac:dyDescent="0.2">
      <c r="A58" s="1">
        <v>45714</v>
      </c>
      <c r="B58">
        <v>87035.6</v>
      </c>
      <c r="C58" t="s">
        <v>129</v>
      </c>
      <c r="D58">
        <v>55</v>
      </c>
      <c r="E58">
        <v>220</v>
      </c>
      <c r="F58">
        <v>1</v>
      </c>
      <c r="G58">
        <v>54</v>
      </c>
      <c r="H58" t="s">
        <v>130</v>
      </c>
      <c r="I58">
        <v>111</v>
      </c>
      <c r="J58">
        <v>444</v>
      </c>
      <c r="K58">
        <v>1</v>
      </c>
      <c r="L58">
        <v>110</v>
      </c>
      <c r="M58">
        <v>164</v>
      </c>
      <c r="N58" t="s">
        <v>17</v>
      </c>
      <c r="O58" t="s">
        <v>17</v>
      </c>
      <c r="P58">
        <f t="shared" si="0"/>
        <v>0.98181818181818181</v>
      </c>
      <c r="Q58">
        <f t="shared" si="1"/>
        <v>0.99099099099099097</v>
      </c>
      <c r="R58">
        <f t="shared" si="2"/>
        <v>1</v>
      </c>
      <c r="S58">
        <f t="shared" si="3"/>
        <v>1</v>
      </c>
      <c r="T58">
        <f t="shared" si="4"/>
        <v>2</v>
      </c>
      <c r="U58">
        <f t="shared" si="5"/>
        <v>66</v>
      </c>
    </row>
    <row r="59" spans="1:21" x14ac:dyDescent="0.2">
      <c r="A59" s="1">
        <v>45715</v>
      </c>
      <c r="B59">
        <v>84265.600000000006</v>
      </c>
      <c r="C59" t="s">
        <v>131</v>
      </c>
      <c r="D59">
        <v>33</v>
      </c>
      <c r="E59">
        <v>132</v>
      </c>
      <c r="F59">
        <v>1</v>
      </c>
      <c r="G59">
        <v>32</v>
      </c>
      <c r="H59" t="s">
        <v>132</v>
      </c>
      <c r="I59">
        <v>287</v>
      </c>
      <c r="J59">
        <v>1148</v>
      </c>
      <c r="K59">
        <v>1</v>
      </c>
      <c r="L59">
        <v>286</v>
      </c>
      <c r="M59">
        <v>318</v>
      </c>
      <c r="N59" t="s">
        <v>17</v>
      </c>
      <c r="O59" t="s">
        <v>17</v>
      </c>
      <c r="P59">
        <f t="shared" si="0"/>
        <v>0.96969696969696972</v>
      </c>
      <c r="Q59">
        <f t="shared" si="1"/>
        <v>0.99651567944250874</v>
      </c>
      <c r="R59">
        <f t="shared" si="2"/>
        <v>1</v>
      </c>
      <c r="S59">
        <f t="shared" si="3"/>
        <v>1</v>
      </c>
      <c r="T59">
        <f t="shared" si="4"/>
        <v>2</v>
      </c>
      <c r="U59">
        <f t="shared" si="5"/>
        <v>68</v>
      </c>
    </row>
    <row r="60" spans="1:21" x14ac:dyDescent="0.2">
      <c r="A60" s="1">
        <v>45716</v>
      </c>
      <c r="B60">
        <v>84560.3</v>
      </c>
      <c r="C60" t="s">
        <v>133</v>
      </c>
      <c r="D60">
        <v>51</v>
      </c>
      <c r="E60">
        <v>204</v>
      </c>
      <c r="F60">
        <v>1</v>
      </c>
      <c r="G60">
        <v>50</v>
      </c>
      <c r="H60" t="s">
        <v>134</v>
      </c>
      <c r="I60">
        <v>111</v>
      </c>
      <c r="J60">
        <v>444</v>
      </c>
      <c r="K60">
        <v>444</v>
      </c>
      <c r="L60">
        <v>-333</v>
      </c>
      <c r="M60">
        <v>-283</v>
      </c>
      <c r="N60" t="s">
        <v>17</v>
      </c>
      <c r="O60" t="s">
        <v>20</v>
      </c>
      <c r="P60">
        <f t="shared" si="0"/>
        <v>0.98039215686274506</v>
      </c>
      <c r="Q60">
        <f t="shared" si="1"/>
        <v>-3</v>
      </c>
      <c r="R60">
        <f t="shared" si="2"/>
        <v>1</v>
      </c>
      <c r="S60">
        <f t="shared" si="3"/>
        <v>-3</v>
      </c>
      <c r="T60">
        <f t="shared" si="4"/>
        <v>-2</v>
      </c>
      <c r="U60">
        <f t="shared" si="5"/>
        <v>66</v>
      </c>
    </row>
    <row r="61" spans="1:21" x14ac:dyDescent="0.2">
      <c r="A61" s="1">
        <v>45717</v>
      </c>
      <c r="B61">
        <v>84563</v>
      </c>
      <c r="C61" t="s">
        <v>135</v>
      </c>
      <c r="D61">
        <v>35</v>
      </c>
      <c r="E61">
        <v>140</v>
      </c>
      <c r="F61">
        <v>1</v>
      </c>
      <c r="G61">
        <v>34</v>
      </c>
      <c r="H61" t="s">
        <v>136</v>
      </c>
      <c r="I61">
        <v>46</v>
      </c>
      <c r="J61">
        <v>184</v>
      </c>
      <c r="K61">
        <v>1</v>
      </c>
      <c r="L61">
        <v>45</v>
      </c>
      <c r="M61">
        <v>79</v>
      </c>
      <c r="N61" t="s">
        <v>17</v>
      </c>
      <c r="O61" t="s">
        <v>17</v>
      </c>
      <c r="P61">
        <f t="shared" si="0"/>
        <v>0.97142857142857142</v>
      </c>
      <c r="Q61">
        <f t="shared" si="1"/>
        <v>0.97826086956521741</v>
      </c>
      <c r="R61">
        <f t="shared" si="2"/>
        <v>1</v>
      </c>
      <c r="S61">
        <f t="shared" si="3"/>
        <v>1</v>
      </c>
      <c r="T61">
        <f t="shared" si="4"/>
        <v>2</v>
      </c>
      <c r="U61">
        <f t="shared" si="5"/>
        <v>68</v>
      </c>
    </row>
    <row r="62" spans="1:21" x14ac:dyDescent="0.2">
      <c r="A62" s="1">
        <v>45718</v>
      </c>
      <c r="B62">
        <v>85311.1</v>
      </c>
      <c r="C62" t="s">
        <v>137</v>
      </c>
      <c r="D62">
        <v>44</v>
      </c>
      <c r="E62">
        <v>176</v>
      </c>
      <c r="F62">
        <v>1</v>
      </c>
      <c r="G62">
        <v>43</v>
      </c>
      <c r="H62" t="s">
        <v>138</v>
      </c>
      <c r="I62">
        <v>31</v>
      </c>
      <c r="J62">
        <v>124</v>
      </c>
      <c r="K62">
        <v>1</v>
      </c>
      <c r="L62">
        <v>30</v>
      </c>
      <c r="M62">
        <v>73</v>
      </c>
      <c r="N62" t="s">
        <v>17</v>
      </c>
      <c r="O62" t="s">
        <v>17</v>
      </c>
      <c r="P62">
        <f t="shared" si="0"/>
        <v>0.97727272727272729</v>
      </c>
      <c r="Q62">
        <f t="shared" si="1"/>
        <v>0.967741935483871</v>
      </c>
      <c r="R62">
        <f t="shared" si="2"/>
        <v>1</v>
      </c>
      <c r="S62">
        <f t="shared" si="3"/>
        <v>1</v>
      </c>
      <c r="T62">
        <f t="shared" si="4"/>
        <v>2</v>
      </c>
      <c r="U62">
        <f t="shared" si="5"/>
        <v>70</v>
      </c>
    </row>
    <row r="63" spans="1:21" x14ac:dyDescent="0.2">
      <c r="A63" s="1">
        <v>45719</v>
      </c>
      <c r="B63">
        <v>92829.8</v>
      </c>
      <c r="C63" t="s">
        <v>139</v>
      </c>
      <c r="D63">
        <v>166</v>
      </c>
      <c r="E63">
        <v>664</v>
      </c>
      <c r="F63">
        <v>1</v>
      </c>
      <c r="G63">
        <v>165</v>
      </c>
      <c r="H63" t="s">
        <v>140</v>
      </c>
      <c r="I63">
        <v>412</v>
      </c>
      <c r="J63">
        <v>1648</v>
      </c>
      <c r="K63">
        <v>1</v>
      </c>
      <c r="L63">
        <v>411</v>
      </c>
      <c r="M63">
        <v>576</v>
      </c>
      <c r="N63" t="s">
        <v>17</v>
      </c>
      <c r="O63" t="s">
        <v>17</v>
      </c>
      <c r="P63">
        <f t="shared" si="0"/>
        <v>0.99397590361445787</v>
      </c>
      <c r="Q63">
        <f t="shared" si="1"/>
        <v>0.99757281553398058</v>
      </c>
      <c r="R63">
        <f t="shared" si="2"/>
        <v>1</v>
      </c>
      <c r="S63">
        <f t="shared" si="3"/>
        <v>1</v>
      </c>
      <c r="T63">
        <f t="shared" si="4"/>
        <v>2</v>
      </c>
      <c r="U63">
        <f t="shared" si="5"/>
        <v>72</v>
      </c>
    </row>
    <row r="64" spans="1:21" x14ac:dyDescent="0.2">
      <c r="A64" s="1">
        <v>45720</v>
      </c>
      <c r="B64">
        <v>87470.7</v>
      </c>
      <c r="C64" t="s">
        <v>141</v>
      </c>
      <c r="D64">
        <v>38</v>
      </c>
      <c r="E64">
        <v>152</v>
      </c>
      <c r="F64">
        <v>1</v>
      </c>
      <c r="G64">
        <v>37</v>
      </c>
      <c r="H64" t="s">
        <v>142</v>
      </c>
      <c r="I64">
        <v>46</v>
      </c>
      <c r="J64">
        <v>184</v>
      </c>
      <c r="K64">
        <v>184</v>
      </c>
      <c r="L64">
        <v>-138</v>
      </c>
      <c r="M64">
        <v>-101</v>
      </c>
      <c r="N64" t="s">
        <v>17</v>
      </c>
      <c r="O64" t="s">
        <v>20</v>
      </c>
      <c r="P64">
        <f t="shared" si="0"/>
        <v>0.97368421052631582</v>
      </c>
      <c r="Q64">
        <f t="shared" si="1"/>
        <v>-3</v>
      </c>
      <c r="R64">
        <f t="shared" si="2"/>
        <v>1</v>
      </c>
      <c r="S64">
        <f t="shared" si="3"/>
        <v>-3</v>
      </c>
      <c r="T64">
        <f t="shared" si="4"/>
        <v>-2</v>
      </c>
      <c r="U64">
        <f t="shared" si="5"/>
        <v>70</v>
      </c>
    </row>
    <row r="65" spans="1:21" x14ac:dyDescent="0.2">
      <c r="A65" s="1">
        <v>45721</v>
      </c>
      <c r="B65">
        <v>86698.2</v>
      </c>
      <c r="C65" t="s">
        <v>143</v>
      </c>
      <c r="D65">
        <v>40</v>
      </c>
      <c r="E65">
        <v>160</v>
      </c>
      <c r="F65">
        <v>1</v>
      </c>
      <c r="G65">
        <v>39</v>
      </c>
      <c r="H65" t="s">
        <v>144</v>
      </c>
      <c r="I65">
        <v>78</v>
      </c>
      <c r="J65">
        <v>312</v>
      </c>
      <c r="K65">
        <v>1</v>
      </c>
      <c r="L65">
        <v>77</v>
      </c>
      <c r="M65">
        <v>116</v>
      </c>
      <c r="N65" t="s">
        <v>17</v>
      </c>
      <c r="O65" t="s">
        <v>17</v>
      </c>
      <c r="P65">
        <f t="shared" si="0"/>
        <v>0.97499999999999998</v>
      </c>
      <c r="Q65">
        <f t="shared" si="1"/>
        <v>0.98717948717948723</v>
      </c>
      <c r="R65">
        <f t="shared" si="2"/>
        <v>1</v>
      </c>
      <c r="S65">
        <f t="shared" si="3"/>
        <v>1</v>
      </c>
      <c r="T65">
        <f t="shared" si="4"/>
        <v>2</v>
      </c>
      <c r="U65">
        <f t="shared" si="5"/>
        <v>72</v>
      </c>
    </row>
    <row r="66" spans="1:21" x14ac:dyDescent="0.2">
      <c r="A66" s="1">
        <v>45722</v>
      </c>
      <c r="B66">
        <v>89744.9</v>
      </c>
      <c r="C66" t="s">
        <v>145</v>
      </c>
      <c r="D66">
        <v>135</v>
      </c>
      <c r="E66">
        <v>540</v>
      </c>
      <c r="F66">
        <v>1</v>
      </c>
      <c r="G66">
        <v>134</v>
      </c>
      <c r="H66" t="s">
        <v>146</v>
      </c>
      <c r="I66">
        <v>39</v>
      </c>
      <c r="J66">
        <v>156</v>
      </c>
      <c r="K66">
        <v>1</v>
      </c>
      <c r="L66">
        <v>38</v>
      </c>
      <c r="M66">
        <v>172</v>
      </c>
      <c r="N66" t="s">
        <v>17</v>
      </c>
      <c r="O66" t="s">
        <v>17</v>
      </c>
      <c r="P66">
        <f t="shared" si="0"/>
        <v>0.99259259259259258</v>
      </c>
      <c r="Q66">
        <f t="shared" si="1"/>
        <v>0.97435897435897434</v>
      </c>
      <c r="R66">
        <f t="shared" si="2"/>
        <v>1</v>
      </c>
      <c r="S66">
        <f t="shared" si="3"/>
        <v>1</v>
      </c>
      <c r="T66">
        <f t="shared" si="4"/>
        <v>2</v>
      </c>
      <c r="U66">
        <f t="shared" si="5"/>
        <v>74</v>
      </c>
    </row>
    <row r="67" spans="1:21" x14ac:dyDescent="0.2">
      <c r="A67" s="1">
        <v>45723</v>
      </c>
      <c r="B67">
        <v>88384.1</v>
      </c>
      <c r="C67" t="s">
        <v>147</v>
      </c>
      <c r="D67">
        <v>60</v>
      </c>
      <c r="E67">
        <v>240</v>
      </c>
      <c r="F67">
        <v>240</v>
      </c>
      <c r="G67">
        <v>-180</v>
      </c>
      <c r="H67" t="s">
        <v>148</v>
      </c>
      <c r="I67">
        <v>533</v>
      </c>
      <c r="J67">
        <v>2132</v>
      </c>
      <c r="K67">
        <v>2132</v>
      </c>
      <c r="L67">
        <v>-1599</v>
      </c>
      <c r="M67">
        <v>-1779</v>
      </c>
      <c r="N67" t="s">
        <v>20</v>
      </c>
      <c r="O67" t="s">
        <v>20</v>
      </c>
      <c r="P67">
        <f t="shared" ref="P67:P130" si="6">G67/D67</f>
        <v>-3</v>
      </c>
      <c r="Q67">
        <f t="shared" ref="Q67:Q130" si="7">L67/I67</f>
        <v>-3</v>
      </c>
      <c r="R67">
        <f t="shared" ref="R67:R130" si="8">IF(P67&gt;0.9,1,P67)</f>
        <v>-3</v>
      </c>
      <c r="S67">
        <f t="shared" ref="S67:S130" si="9">IF(Q67&gt;0.9,1,Q67)</f>
        <v>-3</v>
      </c>
      <c r="T67">
        <f t="shared" ref="T67:T130" si="10">S67+R67</f>
        <v>-6</v>
      </c>
      <c r="U67">
        <f t="shared" si="5"/>
        <v>68</v>
      </c>
    </row>
    <row r="68" spans="1:21" x14ac:dyDescent="0.2">
      <c r="A68" s="1">
        <v>45724</v>
      </c>
      <c r="B68">
        <v>88802.9</v>
      </c>
      <c r="C68" t="s">
        <v>149</v>
      </c>
      <c r="D68">
        <v>97</v>
      </c>
      <c r="E68">
        <v>388</v>
      </c>
      <c r="F68">
        <v>1</v>
      </c>
      <c r="G68">
        <v>96</v>
      </c>
      <c r="H68" t="s">
        <v>150</v>
      </c>
      <c r="I68">
        <v>95.6</v>
      </c>
      <c r="J68">
        <v>382.4</v>
      </c>
      <c r="K68">
        <v>1</v>
      </c>
      <c r="L68">
        <v>94.6</v>
      </c>
      <c r="M68">
        <v>190.6</v>
      </c>
      <c r="N68" t="s">
        <v>17</v>
      </c>
      <c r="O68" t="s">
        <v>17</v>
      </c>
      <c r="P68">
        <f t="shared" si="6"/>
        <v>0.98969072164948457</v>
      </c>
      <c r="Q68">
        <f t="shared" si="7"/>
        <v>0.9895397489539749</v>
      </c>
      <c r="R68">
        <f t="shared" si="8"/>
        <v>1</v>
      </c>
      <c r="S68">
        <f t="shared" si="9"/>
        <v>1</v>
      </c>
      <c r="T68">
        <f t="shared" si="10"/>
        <v>2</v>
      </c>
      <c r="U68">
        <f t="shared" ref="U68:U131" si="11">U67+T68</f>
        <v>70</v>
      </c>
    </row>
    <row r="69" spans="1:21" x14ac:dyDescent="0.2">
      <c r="A69" s="1">
        <v>45725</v>
      </c>
      <c r="B69">
        <v>85971.1</v>
      </c>
      <c r="C69" t="s">
        <v>151</v>
      </c>
      <c r="D69">
        <v>50</v>
      </c>
      <c r="E69">
        <v>200</v>
      </c>
      <c r="F69">
        <v>1</v>
      </c>
      <c r="G69">
        <v>49</v>
      </c>
      <c r="H69" t="s">
        <v>152</v>
      </c>
      <c r="I69">
        <v>54</v>
      </c>
      <c r="J69">
        <v>216</v>
      </c>
      <c r="K69">
        <v>1</v>
      </c>
      <c r="L69">
        <v>53</v>
      </c>
      <c r="M69">
        <v>102</v>
      </c>
      <c r="N69" t="s">
        <v>17</v>
      </c>
      <c r="O69" t="s">
        <v>17</v>
      </c>
      <c r="P69">
        <f t="shared" si="6"/>
        <v>0.98</v>
      </c>
      <c r="Q69">
        <f t="shared" si="7"/>
        <v>0.98148148148148151</v>
      </c>
      <c r="R69">
        <f t="shared" si="8"/>
        <v>1</v>
      </c>
      <c r="S69">
        <f t="shared" si="9"/>
        <v>1</v>
      </c>
      <c r="T69">
        <f t="shared" si="10"/>
        <v>2</v>
      </c>
      <c r="U69">
        <f t="shared" si="11"/>
        <v>72</v>
      </c>
    </row>
    <row r="70" spans="1:21" x14ac:dyDescent="0.2">
      <c r="A70" s="1">
        <v>45726</v>
      </c>
      <c r="B70">
        <v>82759.899999999994</v>
      </c>
      <c r="C70" t="s">
        <v>153</v>
      </c>
      <c r="D70">
        <v>101</v>
      </c>
      <c r="E70">
        <v>404</v>
      </c>
      <c r="F70">
        <v>1</v>
      </c>
      <c r="G70">
        <v>100</v>
      </c>
      <c r="H70" t="s">
        <v>154</v>
      </c>
      <c r="I70">
        <v>219</v>
      </c>
      <c r="J70">
        <v>876</v>
      </c>
      <c r="K70">
        <v>1</v>
      </c>
      <c r="L70">
        <v>218</v>
      </c>
      <c r="M70">
        <v>318</v>
      </c>
      <c r="N70" t="s">
        <v>17</v>
      </c>
      <c r="O70" t="s">
        <v>17</v>
      </c>
      <c r="P70">
        <f t="shared" si="6"/>
        <v>0.99009900990099009</v>
      </c>
      <c r="Q70">
        <f t="shared" si="7"/>
        <v>0.99543378995433784</v>
      </c>
      <c r="R70">
        <f t="shared" si="8"/>
        <v>1</v>
      </c>
      <c r="S70">
        <f t="shared" si="9"/>
        <v>1</v>
      </c>
      <c r="T70">
        <f t="shared" si="10"/>
        <v>2</v>
      </c>
      <c r="U70">
        <f t="shared" si="11"/>
        <v>74</v>
      </c>
    </row>
    <row r="71" spans="1:21" x14ac:dyDescent="0.2">
      <c r="A71" s="1">
        <v>45727</v>
      </c>
      <c r="B71">
        <v>77899.600000000006</v>
      </c>
      <c r="C71" t="s">
        <v>155</v>
      </c>
      <c r="D71">
        <v>40</v>
      </c>
      <c r="E71">
        <v>160</v>
      </c>
      <c r="F71">
        <v>1</v>
      </c>
      <c r="G71">
        <v>39</v>
      </c>
      <c r="H71" t="s">
        <v>156</v>
      </c>
      <c r="I71">
        <v>310</v>
      </c>
      <c r="J71">
        <v>1240</v>
      </c>
      <c r="K71">
        <v>1</v>
      </c>
      <c r="L71">
        <v>309</v>
      </c>
      <c r="M71">
        <v>348</v>
      </c>
      <c r="N71" t="s">
        <v>17</v>
      </c>
      <c r="O71" t="s">
        <v>17</v>
      </c>
      <c r="P71">
        <f t="shared" si="6"/>
        <v>0.97499999999999998</v>
      </c>
      <c r="Q71">
        <f t="shared" si="7"/>
        <v>0.99677419354838714</v>
      </c>
      <c r="R71">
        <f t="shared" si="8"/>
        <v>1</v>
      </c>
      <c r="S71">
        <f t="shared" si="9"/>
        <v>1</v>
      </c>
      <c r="T71">
        <f t="shared" si="10"/>
        <v>2</v>
      </c>
      <c r="U71">
        <f t="shared" si="11"/>
        <v>76</v>
      </c>
    </row>
    <row r="72" spans="1:21" x14ac:dyDescent="0.2">
      <c r="A72" s="1">
        <v>45728</v>
      </c>
      <c r="B72">
        <v>83324.5</v>
      </c>
      <c r="C72" t="s">
        <v>157</v>
      </c>
      <c r="D72">
        <v>34</v>
      </c>
      <c r="E72">
        <v>136</v>
      </c>
      <c r="F72">
        <v>1</v>
      </c>
      <c r="G72">
        <v>33</v>
      </c>
      <c r="H72" t="s">
        <v>158</v>
      </c>
      <c r="I72">
        <v>37</v>
      </c>
      <c r="J72">
        <v>148</v>
      </c>
      <c r="K72">
        <v>1</v>
      </c>
      <c r="L72">
        <v>36</v>
      </c>
      <c r="M72">
        <v>69</v>
      </c>
      <c r="N72" t="s">
        <v>17</v>
      </c>
      <c r="O72" t="s">
        <v>17</v>
      </c>
      <c r="P72">
        <f t="shared" si="6"/>
        <v>0.97058823529411764</v>
      </c>
      <c r="Q72">
        <f t="shared" si="7"/>
        <v>0.97297297297297303</v>
      </c>
      <c r="R72">
        <f t="shared" si="8"/>
        <v>1</v>
      </c>
      <c r="S72">
        <f t="shared" si="9"/>
        <v>1</v>
      </c>
      <c r="T72">
        <f t="shared" si="10"/>
        <v>2</v>
      </c>
      <c r="U72">
        <f t="shared" si="11"/>
        <v>78</v>
      </c>
    </row>
    <row r="73" spans="1:21" x14ac:dyDescent="0.2">
      <c r="A73" s="1">
        <v>45729</v>
      </c>
      <c r="B73">
        <v>82537.8</v>
      </c>
      <c r="C73" t="s">
        <v>159</v>
      </c>
      <c r="D73">
        <v>116</v>
      </c>
      <c r="E73">
        <v>464</v>
      </c>
      <c r="F73">
        <v>1</v>
      </c>
      <c r="G73">
        <v>115</v>
      </c>
      <c r="H73" t="s">
        <v>160</v>
      </c>
      <c r="I73">
        <v>38</v>
      </c>
      <c r="J73">
        <v>152</v>
      </c>
      <c r="K73">
        <v>1</v>
      </c>
      <c r="L73">
        <v>37</v>
      </c>
      <c r="M73">
        <v>152</v>
      </c>
      <c r="N73" t="s">
        <v>17</v>
      </c>
      <c r="O73" t="s">
        <v>17</v>
      </c>
      <c r="P73">
        <f t="shared" si="6"/>
        <v>0.99137931034482762</v>
      </c>
      <c r="Q73">
        <f t="shared" si="7"/>
        <v>0.97368421052631582</v>
      </c>
      <c r="R73">
        <f t="shared" si="8"/>
        <v>1</v>
      </c>
      <c r="S73">
        <f t="shared" si="9"/>
        <v>1</v>
      </c>
      <c r="T73">
        <f t="shared" si="10"/>
        <v>2</v>
      </c>
      <c r="U73">
        <f t="shared" si="11"/>
        <v>80</v>
      </c>
    </row>
    <row r="74" spans="1:21" x14ac:dyDescent="0.2">
      <c r="A74" s="1">
        <v>45730</v>
      </c>
      <c r="B74">
        <v>80800.2</v>
      </c>
      <c r="C74" t="s">
        <v>161</v>
      </c>
      <c r="D74">
        <v>36</v>
      </c>
      <c r="E74">
        <v>144</v>
      </c>
      <c r="F74">
        <v>1</v>
      </c>
      <c r="G74">
        <v>35</v>
      </c>
      <c r="H74" t="s">
        <v>162</v>
      </c>
      <c r="I74">
        <v>43</v>
      </c>
      <c r="J74">
        <v>172</v>
      </c>
      <c r="K74">
        <v>1</v>
      </c>
      <c r="L74">
        <v>42</v>
      </c>
      <c r="M74">
        <v>77</v>
      </c>
      <c r="N74" t="s">
        <v>17</v>
      </c>
      <c r="O74" t="s">
        <v>17</v>
      </c>
      <c r="P74">
        <f t="shared" si="6"/>
        <v>0.97222222222222221</v>
      </c>
      <c r="Q74">
        <f t="shared" si="7"/>
        <v>0.97674418604651159</v>
      </c>
      <c r="R74">
        <f t="shared" si="8"/>
        <v>1</v>
      </c>
      <c r="S74">
        <f t="shared" si="9"/>
        <v>1</v>
      </c>
      <c r="T74">
        <f t="shared" si="10"/>
        <v>2</v>
      </c>
      <c r="U74">
        <f t="shared" si="11"/>
        <v>82</v>
      </c>
    </row>
    <row r="75" spans="1:21" x14ac:dyDescent="0.2">
      <c r="A75" s="1">
        <v>45731</v>
      </c>
      <c r="B75">
        <v>84565.5</v>
      </c>
      <c r="C75" t="s">
        <v>163</v>
      </c>
      <c r="D75">
        <v>95</v>
      </c>
      <c r="E75">
        <v>380</v>
      </c>
      <c r="F75">
        <v>1</v>
      </c>
      <c r="G75">
        <v>94</v>
      </c>
      <c r="H75" t="s">
        <v>164</v>
      </c>
      <c r="I75">
        <v>61</v>
      </c>
      <c r="J75">
        <v>244</v>
      </c>
      <c r="K75">
        <v>1</v>
      </c>
      <c r="L75">
        <v>60</v>
      </c>
      <c r="M75">
        <v>154</v>
      </c>
      <c r="N75" t="s">
        <v>17</v>
      </c>
      <c r="O75" t="s">
        <v>17</v>
      </c>
      <c r="P75">
        <f t="shared" si="6"/>
        <v>0.98947368421052628</v>
      </c>
      <c r="Q75">
        <f t="shared" si="7"/>
        <v>0.98360655737704916</v>
      </c>
      <c r="R75">
        <f t="shared" si="8"/>
        <v>1</v>
      </c>
      <c r="S75">
        <f t="shared" si="9"/>
        <v>1</v>
      </c>
      <c r="T75">
        <f t="shared" si="10"/>
        <v>2</v>
      </c>
      <c r="U75">
        <f t="shared" si="11"/>
        <v>84</v>
      </c>
    </row>
    <row r="76" spans="1:21" x14ac:dyDescent="0.2">
      <c r="A76" s="1">
        <v>45732</v>
      </c>
      <c r="B76">
        <v>84116.3</v>
      </c>
      <c r="C76" t="s">
        <v>165</v>
      </c>
      <c r="D76">
        <v>73</v>
      </c>
      <c r="E76">
        <v>292</v>
      </c>
      <c r="F76">
        <v>1</v>
      </c>
      <c r="G76">
        <v>72</v>
      </c>
      <c r="H76" t="s">
        <v>166</v>
      </c>
      <c r="I76">
        <v>50</v>
      </c>
      <c r="J76">
        <v>200</v>
      </c>
      <c r="K76">
        <v>1</v>
      </c>
      <c r="L76">
        <v>49</v>
      </c>
      <c r="M76">
        <v>121</v>
      </c>
      <c r="N76" t="s">
        <v>17</v>
      </c>
      <c r="O76" t="s">
        <v>17</v>
      </c>
      <c r="P76">
        <f t="shared" si="6"/>
        <v>0.98630136986301364</v>
      </c>
      <c r="Q76">
        <f t="shared" si="7"/>
        <v>0.98</v>
      </c>
      <c r="R76">
        <f t="shared" si="8"/>
        <v>1</v>
      </c>
      <c r="S76">
        <f t="shared" si="9"/>
        <v>1</v>
      </c>
      <c r="T76">
        <f t="shared" si="10"/>
        <v>2</v>
      </c>
      <c r="U76">
        <f t="shared" si="11"/>
        <v>86</v>
      </c>
    </row>
    <row r="77" spans="1:21" x14ac:dyDescent="0.2">
      <c r="A77" s="1">
        <v>45733</v>
      </c>
      <c r="B77">
        <v>83661</v>
      </c>
      <c r="C77" t="s">
        <v>167</v>
      </c>
      <c r="D77">
        <v>51</v>
      </c>
      <c r="E77">
        <v>204</v>
      </c>
      <c r="F77">
        <v>1</v>
      </c>
      <c r="G77">
        <v>50</v>
      </c>
      <c r="H77" t="s">
        <v>168</v>
      </c>
      <c r="I77">
        <v>67</v>
      </c>
      <c r="J77">
        <v>268</v>
      </c>
      <c r="K77">
        <v>1</v>
      </c>
      <c r="L77">
        <v>66</v>
      </c>
      <c r="M77">
        <v>116</v>
      </c>
      <c r="N77" t="s">
        <v>17</v>
      </c>
      <c r="O77" t="s">
        <v>17</v>
      </c>
      <c r="P77">
        <f t="shared" si="6"/>
        <v>0.98039215686274506</v>
      </c>
      <c r="Q77">
        <f t="shared" si="7"/>
        <v>0.9850746268656716</v>
      </c>
      <c r="R77">
        <f t="shared" si="8"/>
        <v>1</v>
      </c>
      <c r="S77">
        <f t="shared" si="9"/>
        <v>1</v>
      </c>
      <c r="T77">
        <f t="shared" si="10"/>
        <v>2</v>
      </c>
      <c r="U77">
        <f t="shared" si="11"/>
        <v>88</v>
      </c>
    </row>
    <row r="78" spans="1:21" x14ac:dyDescent="0.2">
      <c r="A78" s="1">
        <v>45734</v>
      </c>
      <c r="B78">
        <v>84572.5</v>
      </c>
      <c r="C78" t="s">
        <v>169</v>
      </c>
      <c r="D78">
        <v>53</v>
      </c>
      <c r="E78">
        <v>212</v>
      </c>
      <c r="F78">
        <v>1</v>
      </c>
      <c r="G78">
        <v>52</v>
      </c>
      <c r="H78" t="s">
        <v>170</v>
      </c>
      <c r="I78">
        <v>42</v>
      </c>
      <c r="J78">
        <v>168</v>
      </c>
      <c r="K78">
        <v>168</v>
      </c>
      <c r="L78">
        <v>-126</v>
      </c>
      <c r="M78">
        <v>-74</v>
      </c>
      <c r="N78" t="s">
        <v>17</v>
      </c>
      <c r="O78" t="s">
        <v>20</v>
      </c>
      <c r="P78">
        <f t="shared" si="6"/>
        <v>0.98113207547169812</v>
      </c>
      <c r="Q78">
        <f t="shared" si="7"/>
        <v>-3</v>
      </c>
      <c r="R78">
        <f t="shared" si="8"/>
        <v>1</v>
      </c>
      <c r="S78">
        <f t="shared" si="9"/>
        <v>-3</v>
      </c>
      <c r="T78">
        <f t="shared" si="10"/>
        <v>-2</v>
      </c>
      <c r="U78">
        <f t="shared" si="11"/>
        <v>86</v>
      </c>
    </row>
    <row r="79" spans="1:21" x14ac:dyDescent="0.2">
      <c r="A79" s="1">
        <v>45735</v>
      </c>
      <c r="B79">
        <v>81878.2</v>
      </c>
      <c r="C79" t="s">
        <v>171</v>
      </c>
      <c r="D79">
        <v>263</v>
      </c>
      <c r="E79">
        <v>1052</v>
      </c>
      <c r="F79">
        <v>1052</v>
      </c>
      <c r="G79">
        <v>-789</v>
      </c>
      <c r="H79" t="s">
        <v>172</v>
      </c>
      <c r="I79">
        <v>31</v>
      </c>
      <c r="J79">
        <v>124</v>
      </c>
      <c r="K79">
        <v>1</v>
      </c>
      <c r="L79">
        <v>30</v>
      </c>
      <c r="M79">
        <v>-759</v>
      </c>
      <c r="N79" t="s">
        <v>20</v>
      </c>
      <c r="O79" t="s">
        <v>17</v>
      </c>
      <c r="P79">
        <f t="shared" si="6"/>
        <v>-3</v>
      </c>
      <c r="Q79">
        <f t="shared" si="7"/>
        <v>0.967741935483871</v>
      </c>
      <c r="R79">
        <f t="shared" si="8"/>
        <v>-3</v>
      </c>
      <c r="S79">
        <f t="shared" si="9"/>
        <v>1</v>
      </c>
      <c r="T79">
        <f t="shared" si="10"/>
        <v>-2</v>
      </c>
      <c r="U79">
        <f t="shared" si="11"/>
        <v>84</v>
      </c>
    </row>
    <row r="80" spans="1:21" x14ac:dyDescent="0.2">
      <c r="A80" s="1">
        <v>45736</v>
      </c>
      <c r="B80">
        <v>85558.3</v>
      </c>
      <c r="C80" t="s">
        <v>173</v>
      </c>
      <c r="D80">
        <v>84</v>
      </c>
      <c r="E80">
        <v>336</v>
      </c>
      <c r="F80">
        <v>336</v>
      </c>
      <c r="G80">
        <v>-252</v>
      </c>
      <c r="H80" t="s">
        <v>174</v>
      </c>
      <c r="I80">
        <v>39</v>
      </c>
      <c r="J80">
        <v>156</v>
      </c>
      <c r="K80">
        <v>1</v>
      </c>
      <c r="L80">
        <v>38</v>
      </c>
      <c r="M80">
        <v>-214</v>
      </c>
      <c r="N80" t="s">
        <v>20</v>
      </c>
      <c r="O80" t="s">
        <v>17</v>
      </c>
      <c r="P80">
        <f t="shared" si="6"/>
        <v>-3</v>
      </c>
      <c r="Q80">
        <f t="shared" si="7"/>
        <v>0.97435897435897434</v>
      </c>
      <c r="R80">
        <f t="shared" si="8"/>
        <v>-3</v>
      </c>
      <c r="S80">
        <f t="shared" si="9"/>
        <v>1</v>
      </c>
      <c r="T80">
        <f t="shared" si="10"/>
        <v>-2</v>
      </c>
      <c r="U80">
        <f t="shared" si="11"/>
        <v>82</v>
      </c>
    </row>
    <row r="81" spans="1:21" x14ac:dyDescent="0.2">
      <c r="A81" s="1">
        <v>45737</v>
      </c>
      <c r="B81">
        <v>84147.9</v>
      </c>
      <c r="C81" t="s">
        <v>175</v>
      </c>
      <c r="D81">
        <v>210</v>
      </c>
      <c r="E81">
        <v>840</v>
      </c>
      <c r="F81">
        <v>1</v>
      </c>
      <c r="G81">
        <v>209</v>
      </c>
      <c r="H81" t="s">
        <v>176</v>
      </c>
      <c r="I81">
        <v>40</v>
      </c>
      <c r="J81">
        <v>160</v>
      </c>
      <c r="K81">
        <v>1</v>
      </c>
      <c r="L81">
        <v>39</v>
      </c>
      <c r="M81">
        <v>248</v>
      </c>
      <c r="N81" t="s">
        <v>17</v>
      </c>
      <c r="O81" t="s">
        <v>17</v>
      </c>
      <c r="P81">
        <f t="shared" si="6"/>
        <v>0.99523809523809526</v>
      </c>
      <c r="Q81">
        <f t="shared" si="7"/>
        <v>0.97499999999999998</v>
      </c>
      <c r="R81">
        <f t="shared" si="8"/>
        <v>1</v>
      </c>
      <c r="S81">
        <f t="shared" si="9"/>
        <v>1</v>
      </c>
      <c r="T81">
        <f t="shared" si="10"/>
        <v>2</v>
      </c>
      <c r="U81">
        <f t="shared" si="11"/>
        <v>84</v>
      </c>
    </row>
    <row r="82" spans="1:21" x14ac:dyDescent="0.2">
      <c r="A82" s="1">
        <v>45738</v>
      </c>
      <c r="B82">
        <v>84049.5</v>
      </c>
      <c r="C82" t="s">
        <v>177</v>
      </c>
      <c r="D82">
        <v>53</v>
      </c>
      <c r="E82">
        <v>212</v>
      </c>
      <c r="F82">
        <v>1</v>
      </c>
      <c r="G82">
        <v>52</v>
      </c>
      <c r="H82" t="s">
        <v>178</v>
      </c>
      <c r="I82">
        <v>82</v>
      </c>
      <c r="J82">
        <v>328</v>
      </c>
      <c r="K82">
        <v>1</v>
      </c>
      <c r="L82">
        <v>81</v>
      </c>
      <c r="M82">
        <v>133</v>
      </c>
      <c r="N82" t="s">
        <v>17</v>
      </c>
      <c r="O82" t="s">
        <v>17</v>
      </c>
      <c r="P82">
        <f t="shared" si="6"/>
        <v>0.98113207547169812</v>
      </c>
      <c r="Q82">
        <f t="shared" si="7"/>
        <v>0.98780487804878048</v>
      </c>
      <c r="R82">
        <f t="shared" si="8"/>
        <v>1</v>
      </c>
      <c r="S82">
        <f t="shared" si="9"/>
        <v>1</v>
      </c>
      <c r="T82">
        <f t="shared" si="10"/>
        <v>2</v>
      </c>
      <c r="U82">
        <f t="shared" si="11"/>
        <v>86</v>
      </c>
    </row>
    <row r="83" spans="1:21" x14ac:dyDescent="0.2">
      <c r="A83" s="1">
        <v>45739</v>
      </c>
      <c r="B83">
        <v>84236.3</v>
      </c>
      <c r="C83" t="s">
        <v>179</v>
      </c>
      <c r="D83">
        <v>50</v>
      </c>
      <c r="E83">
        <v>200</v>
      </c>
      <c r="F83">
        <v>200</v>
      </c>
      <c r="G83">
        <v>-150</v>
      </c>
      <c r="H83" t="s">
        <v>180</v>
      </c>
      <c r="I83">
        <v>76</v>
      </c>
      <c r="J83">
        <v>304</v>
      </c>
      <c r="K83">
        <v>1</v>
      </c>
      <c r="L83">
        <v>75</v>
      </c>
      <c r="M83">
        <v>-75</v>
      </c>
      <c r="N83" t="s">
        <v>20</v>
      </c>
      <c r="O83" t="s">
        <v>17</v>
      </c>
      <c r="P83">
        <f t="shared" si="6"/>
        <v>-3</v>
      </c>
      <c r="Q83">
        <f t="shared" si="7"/>
        <v>0.98684210526315785</v>
      </c>
      <c r="R83">
        <f t="shared" si="8"/>
        <v>-3</v>
      </c>
      <c r="S83">
        <f t="shared" si="9"/>
        <v>1</v>
      </c>
      <c r="T83">
        <f t="shared" si="10"/>
        <v>-2</v>
      </c>
      <c r="U83">
        <f t="shared" si="11"/>
        <v>84</v>
      </c>
    </row>
    <row r="84" spans="1:21" x14ac:dyDescent="0.2">
      <c r="A84" s="1">
        <v>45740</v>
      </c>
      <c r="B84">
        <v>84960.7</v>
      </c>
      <c r="C84" t="s">
        <v>181</v>
      </c>
      <c r="D84">
        <v>66</v>
      </c>
      <c r="E84">
        <v>264</v>
      </c>
      <c r="F84">
        <v>264</v>
      </c>
      <c r="G84">
        <v>-198</v>
      </c>
      <c r="H84" t="s">
        <v>182</v>
      </c>
      <c r="I84">
        <v>68</v>
      </c>
      <c r="J84">
        <v>272</v>
      </c>
      <c r="K84">
        <v>1</v>
      </c>
      <c r="L84">
        <v>67</v>
      </c>
      <c r="M84">
        <v>-131</v>
      </c>
      <c r="N84" t="s">
        <v>20</v>
      </c>
      <c r="O84" t="s">
        <v>17</v>
      </c>
      <c r="P84">
        <f t="shared" si="6"/>
        <v>-3</v>
      </c>
      <c r="Q84">
        <f t="shared" si="7"/>
        <v>0.98529411764705888</v>
      </c>
      <c r="R84">
        <f t="shared" si="8"/>
        <v>-3</v>
      </c>
      <c r="S84">
        <f t="shared" si="9"/>
        <v>1</v>
      </c>
      <c r="T84">
        <f t="shared" si="10"/>
        <v>-2</v>
      </c>
      <c r="U84">
        <f t="shared" si="11"/>
        <v>82</v>
      </c>
    </row>
    <row r="85" spans="1:21" x14ac:dyDescent="0.2">
      <c r="A85" s="1">
        <v>45741</v>
      </c>
      <c r="B85">
        <v>88404.7</v>
      </c>
      <c r="C85" t="s">
        <v>183</v>
      </c>
      <c r="D85">
        <v>102</v>
      </c>
      <c r="E85">
        <v>408</v>
      </c>
      <c r="F85">
        <v>1</v>
      </c>
      <c r="G85">
        <v>101</v>
      </c>
      <c r="H85" t="s">
        <v>184</v>
      </c>
      <c r="I85">
        <v>63</v>
      </c>
      <c r="J85">
        <v>252</v>
      </c>
      <c r="K85">
        <v>252</v>
      </c>
      <c r="L85">
        <v>-189</v>
      </c>
      <c r="M85">
        <v>-88</v>
      </c>
      <c r="N85" t="s">
        <v>17</v>
      </c>
      <c r="O85" t="s">
        <v>20</v>
      </c>
      <c r="P85">
        <f t="shared" si="6"/>
        <v>0.99019607843137258</v>
      </c>
      <c r="Q85">
        <f t="shared" si="7"/>
        <v>-3</v>
      </c>
      <c r="R85">
        <f t="shared" si="8"/>
        <v>1</v>
      </c>
      <c r="S85">
        <f t="shared" si="9"/>
        <v>-3</v>
      </c>
      <c r="T85">
        <f t="shared" si="10"/>
        <v>-2</v>
      </c>
      <c r="U85">
        <f t="shared" si="11"/>
        <v>80</v>
      </c>
    </row>
    <row r="86" spans="1:21" x14ac:dyDescent="0.2">
      <c r="A86" s="1">
        <v>45742</v>
      </c>
      <c r="B86">
        <v>87863</v>
      </c>
      <c r="C86" t="s">
        <v>185</v>
      </c>
      <c r="D86">
        <v>135</v>
      </c>
      <c r="E86">
        <v>540</v>
      </c>
      <c r="F86">
        <v>1</v>
      </c>
      <c r="G86">
        <v>134</v>
      </c>
      <c r="H86" t="s">
        <v>186</v>
      </c>
      <c r="I86">
        <v>57</v>
      </c>
      <c r="J86">
        <v>228</v>
      </c>
      <c r="K86">
        <v>1</v>
      </c>
      <c r="L86">
        <v>56</v>
      </c>
      <c r="M86">
        <v>190</v>
      </c>
      <c r="N86" t="s">
        <v>17</v>
      </c>
      <c r="O86" t="s">
        <v>17</v>
      </c>
      <c r="P86">
        <f t="shared" si="6"/>
        <v>0.99259259259259258</v>
      </c>
      <c r="Q86">
        <f t="shared" si="7"/>
        <v>0.98245614035087714</v>
      </c>
      <c r="R86">
        <f t="shared" si="8"/>
        <v>1</v>
      </c>
      <c r="S86">
        <f t="shared" si="9"/>
        <v>1</v>
      </c>
      <c r="T86">
        <f t="shared" si="10"/>
        <v>2</v>
      </c>
      <c r="U86">
        <f t="shared" si="11"/>
        <v>82</v>
      </c>
    </row>
    <row r="87" spans="1:21" x14ac:dyDescent="0.2">
      <c r="A87" s="1">
        <v>45743</v>
      </c>
      <c r="B87">
        <v>86267.8</v>
      </c>
      <c r="C87" t="s">
        <v>187</v>
      </c>
      <c r="D87">
        <v>58</v>
      </c>
      <c r="E87">
        <v>232</v>
      </c>
      <c r="F87">
        <v>1</v>
      </c>
      <c r="G87">
        <v>57</v>
      </c>
      <c r="H87" t="s">
        <v>188</v>
      </c>
      <c r="I87">
        <v>55</v>
      </c>
      <c r="J87">
        <v>220</v>
      </c>
      <c r="K87">
        <v>1</v>
      </c>
      <c r="L87">
        <v>54</v>
      </c>
      <c r="M87">
        <v>111</v>
      </c>
      <c r="N87" t="s">
        <v>17</v>
      </c>
      <c r="O87" t="s">
        <v>17</v>
      </c>
      <c r="P87">
        <f t="shared" si="6"/>
        <v>0.98275862068965514</v>
      </c>
      <c r="Q87">
        <f t="shared" si="7"/>
        <v>0.98181818181818181</v>
      </c>
      <c r="R87">
        <f t="shared" si="8"/>
        <v>1</v>
      </c>
      <c r="S87">
        <f t="shared" si="9"/>
        <v>1</v>
      </c>
      <c r="T87">
        <f t="shared" si="10"/>
        <v>2</v>
      </c>
      <c r="U87">
        <f t="shared" si="11"/>
        <v>84</v>
      </c>
    </row>
    <row r="88" spans="1:21" x14ac:dyDescent="0.2">
      <c r="A88" s="1">
        <v>45744</v>
      </c>
      <c r="B88">
        <v>87279.6</v>
      </c>
      <c r="C88" t="s">
        <v>189</v>
      </c>
      <c r="D88">
        <v>160</v>
      </c>
      <c r="E88">
        <v>640</v>
      </c>
      <c r="F88">
        <v>1</v>
      </c>
      <c r="G88">
        <v>159</v>
      </c>
      <c r="H88" t="s">
        <v>190</v>
      </c>
      <c r="I88">
        <v>131</v>
      </c>
      <c r="J88">
        <v>524</v>
      </c>
      <c r="K88">
        <v>524</v>
      </c>
      <c r="L88">
        <v>-393</v>
      </c>
      <c r="M88">
        <v>-234</v>
      </c>
      <c r="N88" t="s">
        <v>17</v>
      </c>
      <c r="O88" t="s">
        <v>20</v>
      </c>
      <c r="P88">
        <f t="shared" si="6"/>
        <v>0.99375000000000002</v>
      </c>
      <c r="Q88">
        <f t="shared" si="7"/>
        <v>-3</v>
      </c>
      <c r="R88">
        <f t="shared" si="8"/>
        <v>1</v>
      </c>
      <c r="S88">
        <f t="shared" si="9"/>
        <v>-3</v>
      </c>
      <c r="T88">
        <f t="shared" si="10"/>
        <v>-2</v>
      </c>
      <c r="U88">
        <f t="shared" si="11"/>
        <v>82</v>
      </c>
    </row>
    <row r="89" spans="1:21" x14ac:dyDescent="0.2">
      <c r="A89" s="1">
        <v>45745</v>
      </c>
      <c r="B89">
        <v>83889.3</v>
      </c>
      <c r="C89" t="s">
        <v>191</v>
      </c>
      <c r="D89">
        <v>30</v>
      </c>
      <c r="E89">
        <v>120</v>
      </c>
      <c r="F89">
        <v>1</v>
      </c>
      <c r="G89">
        <v>29</v>
      </c>
      <c r="H89" t="s">
        <v>192</v>
      </c>
      <c r="I89">
        <v>137</v>
      </c>
      <c r="J89">
        <v>548</v>
      </c>
      <c r="K89">
        <v>1</v>
      </c>
      <c r="L89">
        <v>136</v>
      </c>
      <c r="M89">
        <v>165</v>
      </c>
      <c r="N89" t="s">
        <v>17</v>
      </c>
      <c r="O89" t="s">
        <v>17</v>
      </c>
      <c r="P89">
        <f t="shared" si="6"/>
        <v>0.96666666666666667</v>
      </c>
      <c r="Q89">
        <f t="shared" si="7"/>
        <v>0.99270072992700731</v>
      </c>
      <c r="R89">
        <f t="shared" si="8"/>
        <v>1</v>
      </c>
      <c r="S89">
        <f t="shared" si="9"/>
        <v>1</v>
      </c>
      <c r="T89">
        <f t="shared" si="10"/>
        <v>2</v>
      </c>
      <c r="U89">
        <f t="shared" si="11"/>
        <v>84</v>
      </c>
    </row>
    <row r="90" spans="1:21" x14ac:dyDescent="0.2">
      <c r="A90" s="1">
        <v>45746</v>
      </c>
      <c r="B90">
        <v>82381.899999999994</v>
      </c>
      <c r="C90" t="s">
        <v>193</v>
      </c>
      <c r="D90">
        <v>32</v>
      </c>
      <c r="E90">
        <v>128</v>
      </c>
      <c r="F90">
        <v>1</v>
      </c>
      <c r="G90">
        <v>31</v>
      </c>
      <c r="H90" t="s">
        <v>194</v>
      </c>
      <c r="I90">
        <v>92</v>
      </c>
      <c r="J90">
        <v>368</v>
      </c>
      <c r="K90">
        <v>1</v>
      </c>
      <c r="L90">
        <v>91</v>
      </c>
      <c r="M90">
        <v>122</v>
      </c>
      <c r="N90" t="s">
        <v>17</v>
      </c>
      <c r="O90" t="s">
        <v>17</v>
      </c>
      <c r="P90">
        <f t="shared" si="6"/>
        <v>0.96875</v>
      </c>
      <c r="Q90">
        <f t="shared" si="7"/>
        <v>0.98913043478260865</v>
      </c>
      <c r="R90">
        <f t="shared" si="8"/>
        <v>1</v>
      </c>
      <c r="S90">
        <f t="shared" si="9"/>
        <v>1</v>
      </c>
      <c r="T90">
        <f t="shared" si="10"/>
        <v>2</v>
      </c>
      <c r="U90">
        <f t="shared" si="11"/>
        <v>86</v>
      </c>
    </row>
    <row r="91" spans="1:21" x14ac:dyDescent="0.2">
      <c r="A91" s="1">
        <v>45747</v>
      </c>
      <c r="B91">
        <v>82774</v>
      </c>
      <c r="C91" t="s">
        <v>195</v>
      </c>
      <c r="D91">
        <v>333</v>
      </c>
      <c r="E91">
        <v>1332</v>
      </c>
      <c r="F91">
        <v>1</v>
      </c>
      <c r="G91">
        <v>332</v>
      </c>
      <c r="H91" t="s">
        <v>196</v>
      </c>
      <c r="I91">
        <v>65</v>
      </c>
      <c r="J91">
        <v>260</v>
      </c>
      <c r="K91">
        <v>260</v>
      </c>
      <c r="L91">
        <v>-195</v>
      </c>
      <c r="M91">
        <v>137</v>
      </c>
      <c r="N91" t="s">
        <v>17</v>
      </c>
      <c r="O91" t="s">
        <v>20</v>
      </c>
      <c r="P91">
        <f t="shared" si="6"/>
        <v>0.99699699699699695</v>
      </c>
      <c r="Q91">
        <f t="shared" si="7"/>
        <v>-3</v>
      </c>
      <c r="R91">
        <f t="shared" si="8"/>
        <v>1</v>
      </c>
      <c r="S91">
        <f t="shared" si="9"/>
        <v>-3</v>
      </c>
      <c r="T91">
        <f t="shared" si="10"/>
        <v>-2</v>
      </c>
      <c r="U91">
        <f t="shared" si="11"/>
        <v>84</v>
      </c>
    </row>
    <row r="92" spans="1:21" x14ac:dyDescent="0.2">
      <c r="A92" s="1">
        <v>45748</v>
      </c>
      <c r="B92">
        <v>83318.3</v>
      </c>
      <c r="C92" t="s">
        <v>197</v>
      </c>
      <c r="D92">
        <v>38</v>
      </c>
      <c r="E92">
        <v>152</v>
      </c>
      <c r="F92">
        <v>1</v>
      </c>
      <c r="G92">
        <v>37</v>
      </c>
      <c r="H92" t="s">
        <v>198</v>
      </c>
      <c r="I92">
        <v>284</v>
      </c>
      <c r="J92">
        <v>1136</v>
      </c>
      <c r="K92">
        <v>1</v>
      </c>
      <c r="L92">
        <v>283</v>
      </c>
      <c r="M92">
        <v>320</v>
      </c>
      <c r="N92" t="s">
        <v>17</v>
      </c>
      <c r="O92" t="s">
        <v>17</v>
      </c>
      <c r="P92">
        <f t="shared" si="6"/>
        <v>0.97368421052631582</v>
      </c>
      <c r="Q92">
        <f t="shared" si="7"/>
        <v>0.99647887323943662</v>
      </c>
      <c r="R92">
        <f t="shared" si="8"/>
        <v>1</v>
      </c>
      <c r="S92">
        <f t="shared" si="9"/>
        <v>1</v>
      </c>
      <c r="T92">
        <f t="shared" si="10"/>
        <v>2</v>
      </c>
      <c r="U92">
        <f t="shared" si="11"/>
        <v>86</v>
      </c>
    </row>
    <row r="93" spans="1:21" x14ac:dyDescent="0.2">
      <c r="A93" s="1">
        <v>45749</v>
      </c>
      <c r="B93">
        <v>85147.6</v>
      </c>
      <c r="C93" t="s">
        <v>199</v>
      </c>
      <c r="D93">
        <v>47</v>
      </c>
      <c r="E93">
        <v>188</v>
      </c>
      <c r="F93">
        <v>1</v>
      </c>
      <c r="G93">
        <v>46</v>
      </c>
      <c r="H93" t="s">
        <v>200</v>
      </c>
      <c r="I93">
        <v>38</v>
      </c>
      <c r="J93">
        <v>152</v>
      </c>
      <c r="K93">
        <v>1</v>
      </c>
      <c r="L93">
        <v>37</v>
      </c>
      <c r="M93">
        <v>83</v>
      </c>
      <c r="N93" t="s">
        <v>17</v>
      </c>
      <c r="O93" t="s">
        <v>17</v>
      </c>
      <c r="P93">
        <f t="shared" si="6"/>
        <v>0.97872340425531912</v>
      </c>
      <c r="Q93">
        <f t="shared" si="7"/>
        <v>0.97368421052631582</v>
      </c>
      <c r="R93">
        <f t="shared" si="8"/>
        <v>1</v>
      </c>
      <c r="S93">
        <f t="shared" si="9"/>
        <v>1</v>
      </c>
      <c r="T93">
        <f t="shared" si="10"/>
        <v>2</v>
      </c>
      <c r="U93">
        <f t="shared" si="11"/>
        <v>88</v>
      </c>
    </row>
    <row r="94" spans="1:21" x14ac:dyDescent="0.2">
      <c r="A94" s="1">
        <v>45750</v>
      </c>
      <c r="B94">
        <v>86353.8</v>
      </c>
      <c r="C94" t="s">
        <v>201</v>
      </c>
      <c r="D94">
        <v>76</v>
      </c>
      <c r="E94">
        <v>304</v>
      </c>
      <c r="F94">
        <v>304</v>
      </c>
      <c r="G94">
        <v>-228</v>
      </c>
      <c r="H94" t="s">
        <v>202</v>
      </c>
      <c r="I94">
        <v>89</v>
      </c>
      <c r="J94">
        <v>356</v>
      </c>
      <c r="K94">
        <v>356</v>
      </c>
      <c r="L94">
        <v>-267</v>
      </c>
      <c r="M94">
        <v>-495</v>
      </c>
      <c r="N94" t="s">
        <v>20</v>
      </c>
      <c r="O94" t="s">
        <v>20</v>
      </c>
      <c r="P94">
        <f t="shared" si="6"/>
        <v>-3</v>
      </c>
      <c r="Q94">
        <f t="shared" si="7"/>
        <v>-3</v>
      </c>
      <c r="R94">
        <f t="shared" si="8"/>
        <v>-3</v>
      </c>
      <c r="S94">
        <f t="shared" si="9"/>
        <v>-3</v>
      </c>
      <c r="T94">
        <f t="shared" si="10"/>
        <v>-6</v>
      </c>
      <c r="U94">
        <f t="shared" si="11"/>
        <v>82</v>
      </c>
    </row>
    <row r="95" spans="1:21" x14ac:dyDescent="0.2">
      <c r="A95" s="1">
        <v>45751</v>
      </c>
      <c r="B95">
        <v>82096.100000000006</v>
      </c>
      <c r="C95" t="s">
        <v>203</v>
      </c>
      <c r="D95">
        <v>76.5</v>
      </c>
      <c r="E95">
        <v>306</v>
      </c>
      <c r="F95">
        <v>306</v>
      </c>
      <c r="G95">
        <v>-229.5</v>
      </c>
      <c r="H95" t="s">
        <v>204</v>
      </c>
      <c r="I95">
        <v>99</v>
      </c>
      <c r="J95">
        <v>396</v>
      </c>
      <c r="K95">
        <v>1</v>
      </c>
      <c r="L95">
        <v>98</v>
      </c>
      <c r="M95">
        <v>-131.5</v>
      </c>
      <c r="N95" t="s">
        <v>20</v>
      </c>
      <c r="O95" t="s">
        <v>17</v>
      </c>
      <c r="P95">
        <f t="shared" si="6"/>
        <v>-3</v>
      </c>
      <c r="Q95">
        <f t="shared" si="7"/>
        <v>0.98989898989898994</v>
      </c>
      <c r="R95">
        <f t="shared" si="8"/>
        <v>-3</v>
      </c>
      <c r="S95">
        <f t="shared" si="9"/>
        <v>1</v>
      </c>
      <c r="T95">
        <f t="shared" si="10"/>
        <v>-2</v>
      </c>
      <c r="U95">
        <f t="shared" si="11"/>
        <v>80</v>
      </c>
    </row>
    <row r="96" spans="1:21" x14ac:dyDescent="0.2">
      <c r="A96" s="1">
        <v>45752</v>
      </c>
      <c r="B96">
        <v>83965.2</v>
      </c>
      <c r="C96" t="s">
        <v>205</v>
      </c>
      <c r="D96">
        <v>40.299999999999997</v>
      </c>
      <c r="E96">
        <v>161.19999999999999</v>
      </c>
      <c r="F96">
        <v>1</v>
      </c>
      <c r="G96">
        <v>39.299999999999997</v>
      </c>
      <c r="H96" t="s">
        <v>206</v>
      </c>
      <c r="I96">
        <v>39</v>
      </c>
      <c r="J96">
        <v>156</v>
      </c>
      <c r="K96">
        <v>1</v>
      </c>
      <c r="L96">
        <v>38</v>
      </c>
      <c r="M96">
        <v>77.3</v>
      </c>
      <c r="N96" t="s">
        <v>17</v>
      </c>
      <c r="O96" t="s">
        <v>17</v>
      </c>
      <c r="P96">
        <f t="shared" si="6"/>
        <v>0.97518610421836227</v>
      </c>
      <c r="Q96">
        <f t="shared" si="7"/>
        <v>0.97435897435897434</v>
      </c>
      <c r="R96">
        <f t="shared" si="8"/>
        <v>1</v>
      </c>
      <c r="S96">
        <f t="shared" si="9"/>
        <v>1</v>
      </c>
      <c r="T96">
        <f t="shared" si="10"/>
        <v>2</v>
      </c>
      <c r="U96">
        <f t="shared" si="11"/>
        <v>82</v>
      </c>
    </row>
    <row r="97" spans="1:21" x14ac:dyDescent="0.2">
      <c r="A97" s="1">
        <v>45753</v>
      </c>
      <c r="B97">
        <v>83076.899999999994</v>
      </c>
      <c r="C97" t="s">
        <v>207</v>
      </c>
      <c r="D97">
        <v>134</v>
      </c>
      <c r="E97">
        <v>536</v>
      </c>
      <c r="F97">
        <v>1</v>
      </c>
      <c r="G97">
        <v>133</v>
      </c>
      <c r="H97" t="s">
        <v>208</v>
      </c>
      <c r="I97">
        <v>36</v>
      </c>
      <c r="J97">
        <v>144</v>
      </c>
      <c r="K97">
        <v>1</v>
      </c>
      <c r="L97">
        <v>35</v>
      </c>
      <c r="M97">
        <v>168</v>
      </c>
      <c r="N97" t="s">
        <v>17</v>
      </c>
      <c r="O97" t="s">
        <v>17</v>
      </c>
      <c r="P97">
        <f t="shared" si="6"/>
        <v>0.9925373134328358</v>
      </c>
      <c r="Q97">
        <f t="shared" si="7"/>
        <v>0.97222222222222221</v>
      </c>
      <c r="R97">
        <f t="shared" si="8"/>
        <v>1</v>
      </c>
      <c r="S97">
        <f t="shared" si="9"/>
        <v>1</v>
      </c>
      <c r="T97">
        <f t="shared" si="10"/>
        <v>2</v>
      </c>
      <c r="U97">
        <f t="shared" si="11"/>
        <v>84</v>
      </c>
    </row>
    <row r="98" spans="1:21" x14ac:dyDescent="0.2">
      <c r="A98" s="1">
        <v>45754</v>
      </c>
      <c r="B98">
        <v>79150.7</v>
      </c>
      <c r="C98" t="s">
        <v>209</v>
      </c>
      <c r="D98">
        <v>50</v>
      </c>
      <c r="E98">
        <v>200</v>
      </c>
      <c r="F98">
        <v>1</v>
      </c>
      <c r="G98">
        <v>49</v>
      </c>
      <c r="H98" t="s">
        <v>210</v>
      </c>
      <c r="I98">
        <v>400</v>
      </c>
      <c r="J98">
        <v>1600</v>
      </c>
      <c r="K98">
        <v>1</v>
      </c>
      <c r="L98">
        <v>399</v>
      </c>
      <c r="M98">
        <v>448</v>
      </c>
      <c r="N98" t="s">
        <v>17</v>
      </c>
      <c r="O98" t="s">
        <v>17</v>
      </c>
      <c r="P98">
        <f t="shared" si="6"/>
        <v>0.98</v>
      </c>
      <c r="Q98">
        <f t="shared" si="7"/>
        <v>0.99750000000000005</v>
      </c>
      <c r="R98">
        <f t="shared" si="8"/>
        <v>1</v>
      </c>
      <c r="S98">
        <f t="shared" si="9"/>
        <v>1</v>
      </c>
      <c r="T98">
        <f t="shared" si="10"/>
        <v>2</v>
      </c>
      <c r="U98">
        <f t="shared" si="11"/>
        <v>86</v>
      </c>
    </row>
    <row r="99" spans="1:21" x14ac:dyDescent="0.2">
      <c r="A99" s="1">
        <v>45755</v>
      </c>
      <c r="B99">
        <v>78773.600000000006</v>
      </c>
      <c r="C99" t="s">
        <v>211</v>
      </c>
      <c r="D99">
        <v>32</v>
      </c>
      <c r="E99">
        <v>128</v>
      </c>
      <c r="F99">
        <v>1</v>
      </c>
      <c r="G99">
        <v>31</v>
      </c>
      <c r="H99" t="s">
        <v>212</v>
      </c>
      <c r="I99">
        <v>46</v>
      </c>
      <c r="J99">
        <v>184</v>
      </c>
      <c r="K99">
        <v>1</v>
      </c>
      <c r="L99">
        <v>45</v>
      </c>
      <c r="M99">
        <v>76</v>
      </c>
      <c r="N99" t="s">
        <v>17</v>
      </c>
      <c r="O99" t="s">
        <v>17</v>
      </c>
      <c r="P99">
        <f t="shared" si="6"/>
        <v>0.96875</v>
      </c>
      <c r="Q99">
        <f t="shared" si="7"/>
        <v>0.97826086956521741</v>
      </c>
      <c r="R99">
        <f t="shared" si="8"/>
        <v>1</v>
      </c>
      <c r="S99">
        <f t="shared" si="9"/>
        <v>1</v>
      </c>
      <c r="T99">
        <f t="shared" si="10"/>
        <v>2</v>
      </c>
      <c r="U99">
        <f t="shared" si="11"/>
        <v>88</v>
      </c>
    </row>
    <row r="100" spans="1:21" x14ac:dyDescent="0.2">
      <c r="A100" s="1">
        <v>45756</v>
      </c>
      <c r="B100">
        <v>77293.3</v>
      </c>
      <c r="C100" t="s">
        <v>213</v>
      </c>
      <c r="D100">
        <v>53</v>
      </c>
      <c r="E100">
        <v>212</v>
      </c>
      <c r="F100">
        <v>1</v>
      </c>
      <c r="G100">
        <v>52</v>
      </c>
      <c r="H100" t="s">
        <v>214</v>
      </c>
      <c r="I100">
        <v>75</v>
      </c>
      <c r="J100">
        <v>300</v>
      </c>
      <c r="K100">
        <v>300</v>
      </c>
      <c r="L100">
        <v>-225</v>
      </c>
      <c r="M100">
        <v>-173</v>
      </c>
      <c r="N100" t="s">
        <v>17</v>
      </c>
      <c r="O100" t="s">
        <v>20</v>
      </c>
      <c r="P100">
        <f t="shared" si="6"/>
        <v>0.98113207547169812</v>
      </c>
      <c r="Q100">
        <f t="shared" si="7"/>
        <v>-3</v>
      </c>
      <c r="R100">
        <f t="shared" si="8"/>
        <v>1</v>
      </c>
      <c r="S100">
        <f t="shared" si="9"/>
        <v>-3</v>
      </c>
      <c r="T100">
        <f t="shared" si="10"/>
        <v>-2</v>
      </c>
      <c r="U100">
        <f t="shared" si="11"/>
        <v>86</v>
      </c>
    </row>
    <row r="101" spans="1:21" x14ac:dyDescent="0.2">
      <c r="A101" s="1">
        <v>45757</v>
      </c>
      <c r="B101">
        <v>81882</v>
      </c>
      <c r="C101" t="s">
        <v>215</v>
      </c>
      <c r="D101">
        <v>92</v>
      </c>
      <c r="E101">
        <v>368</v>
      </c>
      <c r="F101">
        <v>1</v>
      </c>
      <c r="G101">
        <v>91</v>
      </c>
      <c r="H101" t="s">
        <v>216</v>
      </c>
      <c r="I101">
        <v>30</v>
      </c>
      <c r="J101">
        <v>120</v>
      </c>
      <c r="K101">
        <v>1</v>
      </c>
      <c r="L101">
        <v>29</v>
      </c>
      <c r="M101">
        <v>120</v>
      </c>
      <c r="N101" t="s">
        <v>17</v>
      </c>
      <c r="O101" t="s">
        <v>17</v>
      </c>
      <c r="P101">
        <f t="shared" si="6"/>
        <v>0.98913043478260865</v>
      </c>
      <c r="Q101">
        <f t="shared" si="7"/>
        <v>0.96666666666666667</v>
      </c>
      <c r="R101">
        <f t="shared" si="8"/>
        <v>1</v>
      </c>
      <c r="S101">
        <f t="shared" si="9"/>
        <v>1</v>
      </c>
      <c r="T101">
        <f t="shared" si="10"/>
        <v>2</v>
      </c>
      <c r="U101">
        <f t="shared" si="11"/>
        <v>88</v>
      </c>
    </row>
    <row r="102" spans="1:21" x14ac:dyDescent="0.2">
      <c r="A102" s="1">
        <v>45758</v>
      </c>
      <c r="B102">
        <v>79665.8</v>
      </c>
      <c r="C102" t="s">
        <v>217</v>
      </c>
      <c r="D102">
        <v>74</v>
      </c>
      <c r="E102">
        <v>296</v>
      </c>
      <c r="F102">
        <v>296</v>
      </c>
      <c r="G102">
        <v>-222</v>
      </c>
      <c r="H102" t="s">
        <v>218</v>
      </c>
      <c r="I102">
        <v>87</v>
      </c>
      <c r="J102">
        <v>348</v>
      </c>
      <c r="K102">
        <v>1</v>
      </c>
      <c r="L102">
        <v>86</v>
      </c>
      <c r="M102">
        <v>-136</v>
      </c>
      <c r="N102" t="s">
        <v>20</v>
      </c>
      <c r="O102" t="s">
        <v>17</v>
      </c>
      <c r="P102">
        <f t="shared" si="6"/>
        <v>-3</v>
      </c>
      <c r="Q102">
        <f t="shared" si="7"/>
        <v>0.9885057471264368</v>
      </c>
      <c r="R102">
        <f t="shared" si="8"/>
        <v>-3</v>
      </c>
      <c r="S102">
        <f t="shared" si="9"/>
        <v>1</v>
      </c>
      <c r="T102">
        <f t="shared" si="10"/>
        <v>-2</v>
      </c>
      <c r="U102">
        <f t="shared" si="11"/>
        <v>86</v>
      </c>
    </row>
    <row r="103" spans="1:21" x14ac:dyDescent="0.2">
      <c r="A103" s="1">
        <v>45759</v>
      </c>
      <c r="B103">
        <v>83660.399999999994</v>
      </c>
      <c r="C103" t="s">
        <v>219</v>
      </c>
      <c r="D103">
        <v>122.5</v>
      </c>
      <c r="E103">
        <v>490</v>
      </c>
      <c r="F103">
        <v>1</v>
      </c>
      <c r="G103">
        <v>121.5</v>
      </c>
      <c r="H103" t="s">
        <v>220</v>
      </c>
      <c r="I103">
        <v>55</v>
      </c>
      <c r="J103">
        <v>220</v>
      </c>
      <c r="K103">
        <v>1</v>
      </c>
      <c r="L103">
        <v>54</v>
      </c>
      <c r="M103">
        <v>175.5</v>
      </c>
      <c r="N103" t="s">
        <v>17</v>
      </c>
      <c r="O103" t="s">
        <v>17</v>
      </c>
      <c r="P103">
        <f t="shared" si="6"/>
        <v>0.99183673469387756</v>
      </c>
      <c r="Q103">
        <f t="shared" si="7"/>
        <v>0.98181818181818181</v>
      </c>
      <c r="R103">
        <f t="shared" si="8"/>
        <v>1</v>
      </c>
      <c r="S103">
        <f t="shared" si="9"/>
        <v>1</v>
      </c>
      <c r="T103">
        <f t="shared" si="10"/>
        <v>2</v>
      </c>
      <c r="U103">
        <f t="shared" si="11"/>
        <v>88</v>
      </c>
    </row>
    <row r="104" spans="1:21" x14ac:dyDescent="0.2">
      <c r="A104" s="1">
        <v>45760</v>
      </c>
      <c r="B104">
        <v>85139.7</v>
      </c>
      <c r="C104" t="s">
        <v>221</v>
      </c>
      <c r="D104">
        <v>62</v>
      </c>
      <c r="E104">
        <v>248</v>
      </c>
      <c r="F104">
        <v>1</v>
      </c>
      <c r="G104">
        <v>61</v>
      </c>
      <c r="H104" t="s">
        <v>222</v>
      </c>
      <c r="I104">
        <v>62</v>
      </c>
      <c r="J104">
        <v>248</v>
      </c>
      <c r="K104">
        <v>1</v>
      </c>
      <c r="L104">
        <v>61</v>
      </c>
      <c r="M104">
        <v>122</v>
      </c>
      <c r="N104" t="s">
        <v>17</v>
      </c>
      <c r="O104" t="s">
        <v>17</v>
      </c>
      <c r="P104">
        <f t="shared" si="6"/>
        <v>0.9838709677419355</v>
      </c>
      <c r="Q104">
        <f t="shared" si="7"/>
        <v>0.9838709677419355</v>
      </c>
      <c r="R104">
        <f t="shared" si="8"/>
        <v>1</v>
      </c>
      <c r="S104">
        <f t="shared" si="9"/>
        <v>1</v>
      </c>
      <c r="T104">
        <f t="shared" si="10"/>
        <v>2</v>
      </c>
      <c r="U104">
        <f t="shared" si="11"/>
        <v>90</v>
      </c>
    </row>
    <row r="105" spans="1:21" x14ac:dyDescent="0.2">
      <c r="A105" s="1">
        <v>45761</v>
      </c>
      <c r="B105">
        <v>84719.2</v>
      </c>
      <c r="C105" t="s">
        <v>223</v>
      </c>
      <c r="D105">
        <v>262</v>
      </c>
      <c r="E105">
        <v>1048</v>
      </c>
      <c r="F105">
        <v>1</v>
      </c>
      <c r="G105">
        <v>261</v>
      </c>
      <c r="H105" t="s">
        <v>224</v>
      </c>
      <c r="I105">
        <v>52</v>
      </c>
      <c r="J105">
        <v>208</v>
      </c>
      <c r="K105">
        <v>1</v>
      </c>
      <c r="L105">
        <v>51</v>
      </c>
      <c r="M105">
        <v>312</v>
      </c>
      <c r="N105" t="s">
        <v>17</v>
      </c>
      <c r="O105" t="s">
        <v>17</v>
      </c>
      <c r="P105">
        <f t="shared" si="6"/>
        <v>0.99618320610687028</v>
      </c>
      <c r="Q105">
        <f t="shared" si="7"/>
        <v>0.98076923076923073</v>
      </c>
      <c r="R105">
        <f t="shared" si="8"/>
        <v>1</v>
      </c>
      <c r="S105">
        <f t="shared" si="9"/>
        <v>1</v>
      </c>
      <c r="T105">
        <f t="shared" si="10"/>
        <v>2</v>
      </c>
      <c r="U105">
        <f t="shared" si="11"/>
        <v>92</v>
      </c>
    </row>
    <row r="106" spans="1:21" x14ac:dyDescent="0.2">
      <c r="A106" s="1">
        <v>45762</v>
      </c>
      <c r="B106">
        <v>85017.4</v>
      </c>
      <c r="C106" t="s">
        <v>225</v>
      </c>
      <c r="D106">
        <v>45</v>
      </c>
      <c r="E106">
        <v>180</v>
      </c>
      <c r="F106">
        <v>1</v>
      </c>
      <c r="G106">
        <v>44</v>
      </c>
      <c r="H106" t="s">
        <v>226</v>
      </c>
      <c r="I106">
        <v>42</v>
      </c>
      <c r="J106">
        <v>168</v>
      </c>
      <c r="K106">
        <v>1</v>
      </c>
      <c r="L106">
        <v>41</v>
      </c>
      <c r="M106">
        <v>85</v>
      </c>
      <c r="N106" t="s">
        <v>17</v>
      </c>
      <c r="O106" t="s">
        <v>17</v>
      </c>
      <c r="P106">
        <f t="shared" si="6"/>
        <v>0.97777777777777775</v>
      </c>
      <c r="Q106">
        <f t="shared" si="7"/>
        <v>0.97619047619047616</v>
      </c>
      <c r="R106">
        <f t="shared" si="8"/>
        <v>1</v>
      </c>
      <c r="S106">
        <f t="shared" si="9"/>
        <v>1</v>
      </c>
      <c r="T106">
        <f t="shared" si="10"/>
        <v>2</v>
      </c>
      <c r="U106">
        <f t="shared" si="11"/>
        <v>94</v>
      </c>
    </row>
    <row r="107" spans="1:21" x14ac:dyDescent="0.2">
      <c r="A107" s="1">
        <v>45763</v>
      </c>
      <c r="B107">
        <v>84166</v>
      </c>
      <c r="C107" t="s">
        <v>227</v>
      </c>
      <c r="D107">
        <v>75</v>
      </c>
      <c r="E107">
        <v>300</v>
      </c>
      <c r="F107">
        <v>1</v>
      </c>
      <c r="G107">
        <v>74</v>
      </c>
      <c r="H107" t="s">
        <v>228</v>
      </c>
      <c r="I107">
        <v>60</v>
      </c>
      <c r="J107">
        <v>240</v>
      </c>
      <c r="K107">
        <v>1</v>
      </c>
      <c r="L107">
        <v>59</v>
      </c>
      <c r="M107">
        <v>133</v>
      </c>
      <c r="N107" t="s">
        <v>17</v>
      </c>
      <c r="O107" t="s">
        <v>17</v>
      </c>
      <c r="P107">
        <f t="shared" si="6"/>
        <v>0.98666666666666669</v>
      </c>
      <c r="Q107">
        <f t="shared" si="7"/>
        <v>0.98333333333333328</v>
      </c>
      <c r="R107">
        <f t="shared" si="8"/>
        <v>1</v>
      </c>
      <c r="S107">
        <f t="shared" si="9"/>
        <v>1</v>
      </c>
      <c r="T107">
        <f t="shared" si="10"/>
        <v>2</v>
      </c>
      <c r="U107">
        <f t="shared" si="11"/>
        <v>96</v>
      </c>
    </row>
    <row r="108" spans="1:21" x14ac:dyDescent="0.2">
      <c r="A108" s="1">
        <v>45764</v>
      </c>
      <c r="B108">
        <v>84112.6</v>
      </c>
      <c r="C108" t="s">
        <v>229</v>
      </c>
      <c r="D108">
        <v>38</v>
      </c>
      <c r="E108">
        <v>152</v>
      </c>
      <c r="F108">
        <v>1</v>
      </c>
      <c r="G108">
        <v>37</v>
      </c>
      <c r="H108" t="s">
        <v>230</v>
      </c>
      <c r="I108">
        <v>105</v>
      </c>
      <c r="J108">
        <v>420</v>
      </c>
      <c r="K108">
        <v>1</v>
      </c>
      <c r="L108">
        <v>104</v>
      </c>
      <c r="M108">
        <v>141</v>
      </c>
      <c r="N108" t="s">
        <v>17</v>
      </c>
      <c r="O108" t="s">
        <v>17</v>
      </c>
      <c r="P108">
        <f t="shared" si="6"/>
        <v>0.97368421052631582</v>
      </c>
      <c r="Q108">
        <f t="shared" si="7"/>
        <v>0.99047619047619051</v>
      </c>
      <c r="R108">
        <f t="shared" si="8"/>
        <v>1</v>
      </c>
      <c r="S108">
        <f t="shared" si="9"/>
        <v>1</v>
      </c>
      <c r="T108">
        <f t="shared" si="10"/>
        <v>2</v>
      </c>
      <c r="U108">
        <f t="shared" si="11"/>
        <v>98</v>
      </c>
    </row>
    <row r="109" spans="1:21" x14ac:dyDescent="0.2">
      <c r="A109" s="1">
        <v>45765</v>
      </c>
      <c r="B109">
        <v>85024.3</v>
      </c>
      <c r="C109" t="s">
        <v>231</v>
      </c>
      <c r="D109">
        <v>40</v>
      </c>
      <c r="E109">
        <v>160</v>
      </c>
      <c r="F109">
        <v>1</v>
      </c>
      <c r="G109">
        <v>39</v>
      </c>
      <c r="H109" t="s">
        <v>232</v>
      </c>
      <c r="I109">
        <v>84</v>
      </c>
      <c r="J109">
        <v>336</v>
      </c>
      <c r="K109">
        <v>1</v>
      </c>
      <c r="L109">
        <v>83</v>
      </c>
      <c r="M109">
        <v>122</v>
      </c>
      <c r="N109" t="s">
        <v>17</v>
      </c>
      <c r="O109" t="s">
        <v>17</v>
      </c>
      <c r="P109">
        <f t="shared" si="6"/>
        <v>0.97499999999999998</v>
      </c>
      <c r="Q109">
        <f t="shared" si="7"/>
        <v>0.98809523809523814</v>
      </c>
      <c r="R109">
        <f t="shared" si="8"/>
        <v>1</v>
      </c>
      <c r="S109">
        <f t="shared" si="9"/>
        <v>1</v>
      </c>
      <c r="T109">
        <f t="shared" si="10"/>
        <v>2</v>
      </c>
      <c r="U109">
        <f t="shared" si="11"/>
        <v>100</v>
      </c>
    </row>
    <row r="110" spans="1:21" x14ac:dyDescent="0.2">
      <c r="A110" s="1">
        <v>45766</v>
      </c>
      <c r="B110">
        <v>84603.3</v>
      </c>
      <c r="C110" t="s">
        <v>233</v>
      </c>
      <c r="D110">
        <v>75</v>
      </c>
      <c r="E110">
        <v>300</v>
      </c>
      <c r="F110">
        <v>300</v>
      </c>
      <c r="G110">
        <v>-225</v>
      </c>
      <c r="H110" t="s">
        <v>234</v>
      </c>
      <c r="I110">
        <v>59</v>
      </c>
      <c r="J110">
        <v>236</v>
      </c>
      <c r="K110">
        <v>1</v>
      </c>
      <c r="L110">
        <v>58</v>
      </c>
      <c r="M110">
        <v>-167</v>
      </c>
      <c r="N110" t="s">
        <v>20</v>
      </c>
      <c r="O110" t="s">
        <v>17</v>
      </c>
      <c r="P110">
        <f t="shared" si="6"/>
        <v>-3</v>
      </c>
      <c r="Q110">
        <f t="shared" si="7"/>
        <v>0.98305084745762716</v>
      </c>
      <c r="R110">
        <f t="shared" si="8"/>
        <v>-3</v>
      </c>
      <c r="S110">
        <f t="shared" si="9"/>
        <v>1</v>
      </c>
      <c r="T110">
        <f t="shared" si="10"/>
        <v>-2</v>
      </c>
      <c r="U110">
        <f t="shared" si="11"/>
        <v>98</v>
      </c>
    </row>
    <row r="111" spans="1:21" x14ac:dyDescent="0.2">
      <c r="A111" s="1">
        <v>45767</v>
      </c>
      <c r="B111">
        <v>85132.6</v>
      </c>
      <c r="C111" t="s">
        <v>235</v>
      </c>
      <c r="D111">
        <v>54</v>
      </c>
      <c r="E111">
        <v>216</v>
      </c>
      <c r="F111">
        <v>1</v>
      </c>
      <c r="G111">
        <v>53</v>
      </c>
      <c r="H111" t="s">
        <v>236</v>
      </c>
      <c r="I111">
        <v>31</v>
      </c>
      <c r="J111">
        <v>124</v>
      </c>
      <c r="K111">
        <v>1</v>
      </c>
      <c r="L111">
        <v>30</v>
      </c>
      <c r="M111">
        <v>83</v>
      </c>
      <c r="N111" t="s">
        <v>17</v>
      </c>
      <c r="O111" t="s">
        <v>17</v>
      </c>
      <c r="P111">
        <f t="shared" si="6"/>
        <v>0.98148148148148151</v>
      </c>
      <c r="Q111">
        <f t="shared" si="7"/>
        <v>0.967741935483871</v>
      </c>
      <c r="R111">
        <f t="shared" si="8"/>
        <v>1</v>
      </c>
      <c r="S111">
        <f t="shared" si="9"/>
        <v>1</v>
      </c>
      <c r="T111">
        <f t="shared" si="10"/>
        <v>2</v>
      </c>
      <c r="U111">
        <f t="shared" si="11"/>
        <v>100</v>
      </c>
    </row>
    <row r="112" spans="1:21" x14ac:dyDescent="0.2">
      <c r="A112" s="1">
        <v>45768</v>
      </c>
      <c r="B112">
        <v>84580.7</v>
      </c>
      <c r="C112" t="s">
        <v>237</v>
      </c>
      <c r="D112">
        <v>48</v>
      </c>
      <c r="E112">
        <v>192</v>
      </c>
      <c r="F112">
        <v>192</v>
      </c>
      <c r="G112">
        <v>-144</v>
      </c>
      <c r="H112" t="s">
        <v>238</v>
      </c>
      <c r="I112">
        <v>48</v>
      </c>
      <c r="J112">
        <v>192</v>
      </c>
      <c r="K112">
        <v>1</v>
      </c>
      <c r="L112">
        <v>47</v>
      </c>
      <c r="M112">
        <v>-97</v>
      </c>
      <c r="N112" t="s">
        <v>20</v>
      </c>
      <c r="O112" t="s">
        <v>17</v>
      </c>
      <c r="P112">
        <f t="shared" si="6"/>
        <v>-3</v>
      </c>
      <c r="Q112">
        <f t="shared" si="7"/>
        <v>0.97916666666666663</v>
      </c>
      <c r="R112">
        <f t="shared" si="8"/>
        <v>-3</v>
      </c>
      <c r="S112">
        <f t="shared" si="9"/>
        <v>1</v>
      </c>
      <c r="T112">
        <f t="shared" si="10"/>
        <v>-2</v>
      </c>
      <c r="U112">
        <f t="shared" si="11"/>
        <v>98</v>
      </c>
    </row>
    <row r="113" spans="1:21" x14ac:dyDescent="0.2">
      <c r="A113" s="1">
        <v>45769</v>
      </c>
      <c r="B113">
        <v>86732.4</v>
      </c>
      <c r="C113" t="s">
        <v>239</v>
      </c>
      <c r="D113">
        <v>37</v>
      </c>
      <c r="E113">
        <v>148</v>
      </c>
      <c r="F113">
        <v>148</v>
      </c>
      <c r="G113">
        <v>-111</v>
      </c>
      <c r="H113" t="s">
        <v>240</v>
      </c>
      <c r="I113">
        <v>102</v>
      </c>
      <c r="J113">
        <v>408</v>
      </c>
      <c r="K113">
        <v>1</v>
      </c>
      <c r="L113">
        <v>101</v>
      </c>
      <c r="M113">
        <v>-10</v>
      </c>
      <c r="N113" t="s">
        <v>20</v>
      </c>
      <c r="O113" t="s">
        <v>17</v>
      </c>
      <c r="P113">
        <f t="shared" si="6"/>
        <v>-3</v>
      </c>
      <c r="Q113">
        <f t="shared" si="7"/>
        <v>0.99019607843137258</v>
      </c>
      <c r="R113">
        <f t="shared" si="8"/>
        <v>-3</v>
      </c>
      <c r="S113">
        <f t="shared" si="9"/>
        <v>1</v>
      </c>
      <c r="T113">
        <f t="shared" si="10"/>
        <v>-2</v>
      </c>
      <c r="U113">
        <f t="shared" si="11"/>
        <v>96</v>
      </c>
    </row>
    <row r="114" spans="1:21" x14ac:dyDescent="0.2">
      <c r="A114" s="1">
        <v>45770</v>
      </c>
      <c r="B114">
        <v>91507.8</v>
      </c>
      <c r="C114" t="s">
        <v>241</v>
      </c>
      <c r="D114">
        <v>153</v>
      </c>
      <c r="E114">
        <v>612</v>
      </c>
      <c r="F114">
        <v>612</v>
      </c>
      <c r="G114">
        <v>-459</v>
      </c>
      <c r="H114" t="s">
        <v>242</v>
      </c>
      <c r="I114">
        <v>46</v>
      </c>
      <c r="J114">
        <v>184</v>
      </c>
      <c r="K114">
        <v>1</v>
      </c>
      <c r="L114">
        <v>45</v>
      </c>
      <c r="M114">
        <v>-414</v>
      </c>
      <c r="N114" t="s">
        <v>20</v>
      </c>
      <c r="O114" t="s">
        <v>17</v>
      </c>
      <c r="P114">
        <f t="shared" si="6"/>
        <v>-3</v>
      </c>
      <c r="Q114">
        <f t="shared" si="7"/>
        <v>0.97826086956521741</v>
      </c>
      <c r="R114">
        <f t="shared" si="8"/>
        <v>-3</v>
      </c>
      <c r="S114">
        <f t="shared" si="9"/>
        <v>1</v>
      </c>
      <c r="T114">
        <f t="shared" si="10"/>
        <v>-2</v>
      </c>
      <c r="U114">
        <f t="shared" si="11"/>
        <v>94</v>
      </c>
    </row>
    <row r="115" spans="1:21" x14ac:dyDescent="0.2">
      <c r="A115" s="1">
        <v>45771</v>
      </c>
      <c r="B115">
        <v>93591.6</v>
      </c>
      <c r="C115" t="s">
        <v>243</v>
      </c>
      <c r="D115">
        <v>63</v>
      </c>
      <c r="E115">
        <v>252</v>
      </c>
      <c r="F115">
        <v>1</v>
      </c>
      <c r="G115">
        <v>62</v>
      </c>
      <c r="H115" t="s">
        <v>244</v>
      </c>
      <c r="I115">
        <v>31</v>
      </c>
      <c r="J115">
        <v>124</v>
      </c>
      <c r="K115">
        <v>1</v>
      </c>
      <c r="L115">
        <v>30</v>
      </c>
      <c r="M115">
        <v>92</v>
      </c>
      <c r="N115" t="s">
        <v>17</v>
      </c>
      <c r="O115" t="s">
        <v>17</v>
      </c>
      <c r="P115">
        <f t="shared" si="6"/>
        <v>0.98412698412698407</v>
      </c>
      <c r="Q115">
        <f t="shared" si="7"/>
        <v>0.967741935483871</v>
      </c>
      <c r="R115">
        <f t="shared" si="8"/>
        <v>1</v>
      </c>
      <c r="S115">
        <f t="shared" si="9"/>
        <v>1</v>
      </c>
      <c r="T115">
        <f t="shared" si="10"/>
        <v>2</v>
      </c>
      <c r="U115">
        <f t="shared" si="11"/>
        <v>96</v>
      </c>
    </row>
    <row r="116" spans="1:21" x14ac:dyDescent="0.2">
      <c r="A116" s="1">
        <v>45772</v>
      </c>
      <c r="B116">
        <v>93442.3</v>
      </c>
      <c r="C116" t="s">
        <v>245</v>
      </c>
      <c r="D116">
        <v>223</v>
      </c>
      <c r="E116">
        <v>892</v>
      </c>
      <c r="F116">
        <v>79.636034482759996</v>
      </c>
      <c r="G116">
        <v>143.36396551723999</v>
      </c>
      <c r="H116" t="s">
        <v>246</v>
      </c>
      <c r="I116">
        <v>57</v>
      </c>
      <c r="J116">
        <v>228</v>
      </c>
      <c r="K116">
        <v>1</v>
      </c>
      <c r="L116">
        <v>56</v>
      </c>
      <c r="M116">
        <v>199.36396551723999</v>
      </c>
      <c r="N116" t="s">
        <v>247</v>
      </c>
      <c r="O116" t="s">
        <v>17</v>
      </c>
      <c r="P116">
        <f t="shared" si="6"/>
        <v>0.64288773774547081</v>
      </c>
      <c r="Q116">
        <f t="shared" si="7"/>
        <v>0.98245614035087714</v>
      </c>
      <c r="R116">
        <f t="shared" si="8"/>
        <v>0.64288773774547081</v>
      </c>
      <c r="S116">
        <f t="shared" si="9"/>
        <v>1</v>
      </c>
      <c r="T116">
        <f t="shared" si="10"/>
        <v>1.6428877377454709</v>
      </c>
      <c r="U116">
        <f t="shared" si="11"/>
        <v>97.642887737745468</v>
      </c>
    </row>
    <row r="117" spans="1:21" x14ac:dyDescent="0.2">
      <c r="A117" s="1">
        <v>45773</v>
      </c>
      <c r="B117">
        <v>95046.399999999994</v>
      </c>
      <c r="C117" t="s">
        <v>248</v>
      </c>
      <c r="D117">
        <v>55</v>
      </c>
      <c r="E117">
        <v>220</v>
      </c>
      <c r="F117">
        <v>1</v>
      </c>
      <c r="G117">
        <v>54</v>
      </c>
      <c r="H117" t="s">
        <v>249</v>
      </c>
      <c r="I117">
        <v>50</v>
      </c>
      <c r="J117">
        <v>200</v>
      </c>
      <c r="K117">
        <v>1</v>
      </c>
      <c r="L117">
        <v>49</v>
      </c>
      <c r="M117">
        <v>103</v>
      </c>
      <c r="N117" t="s">
        <v>17</v>
      </c>
      <c r="O117" t="s">
        <v>17</v>
      </c>
      <c r="P117">
        <f t="shared" si="6"/>
        <v>0.98181818181818181</v>
      </c>
      <c r="Q117">
        <f t="shared" si="7"/>
        <v>0.98</v>
      </c>
      <c r="R117">
        <f t="shared" si="8"/>
        <v>1</v>
      </c>
      <c r="S117">
        <f t="shared" si="9"/>
        <v>1</v>
      </c>
      <c r="T117">
        <f t="shared" si="10"/>
        <v>2</v>
      </c>
      <c r="U117">
        <f t="shared" si="11"/>
        <v>99.642887737745468</v>
      </c>
    </row>
    <row r="118" spans="1:21" x14ac:dyDescent="0.2">
      <c r="A118" s="1">
        <v>45774</v>
      </c>
      <c r="B118">
        <v>94160.7</v>
      </c>
      <c r="C118" t="s">
        <v>250</v>
      </c>
      <c r="D118">
        <v>33</v>
      </c>
      <c r="E118">
        <v>132</v>
      </c>
      <c r="F118">
        <v>132</v>
      </c>
      <c r="G118">
        <v>-99</v>
      </c>
      <c r="H118" t="s">
        <v>251</v>
      </c>
      <c r="I118">
        <v>38</v>
      </c>
      <c r="J118">
        <v>152</v>
      </c>
      <c r="K118">
        <v>1</v>
      </c>
      <c r="L118">
        <v>37</v>
      </c>
      <c r="M118">
        <v>-62</v>
      </c>
      <c r="N118" t="s">
        <v>20</v>
      </c>
      <c r="O118" t="s">
        <v>17</v>
      </c>
      <c r="P118">
        <f t="shared" si="6"/>
        <v>-3</v>
      </c>
      <c r="Q118">
        <f t="shared" si="7"/>
        <v>0.97368421052631582</v>
      </c>
      <c r="R118">
        <f t="shared" si="8"/>
        <v>-3</v>
      </c>
      <c r="S118">
        <f t="shared" si="9"/>
        <v>1</v>
      </c>
      <c r="T118">
        <f t="shared" si="10"/>
        <v>-2</v>
      </c>
      <c r="U118">
        <f t="shared" si="11"/>
        <v>97.642887737745468</v>
      </c>
    </row>
    <row r="119" spans="1:21" x14ac:dyDescent="0.2">
      <c r="A119" s="1">
        <v>45775</v>
      </c>
      <c r="B119">
        <v>94298.5</v>
      </c>
      <c r="C119" t="s">
        <v>252</v>
      </c>
      <c r="D119">
        <v>65</v>
      </c>
      <c r="E119">
        <v>260</v>
      </c>
      <c r="F119">
        <v>1</v>
      </c>
      <c r="G119">
        <v>64</v>
      </c>
      <c r="H119" t="s">
        <v>253</v>
      </c>
      <c r="I119">
        <v>58</v>
      </c>
      <c r="J119">
        <v>232</v>
      </c>
      <c r="K119">
        <v>1</v>
      </c>
      <c r="L119">
        <v>57</v>
      </c>
      <c r="M119">
        <v>121</v>
      </c>
      <c r="N119" t="s">
        <v>17</v>
      </c>
      <c r="O119" t="s">
        <v>17</v>
      </c>
      <c r="P119">
        <f t="shared" si="6"/>
        <v>0.98461538461538467</v>
      </c>
      <c r="Q119">
        <f t="shared" si="7"/>
        <v>0.98275862068965514</v>
      </c>
      <c r="R119">
        <f t="shared" si="8"/>
        <v>1</v>
      </c>
      <c r="S119">
        <f t="shared" si="9"/>
        <v>1</v>
      </c>
      <c r="T119">
        <f t="shared" si="10"/>
        <v>2</v>
      </c>
      <c r="U119">
        <f t="shared" si="11"/>
        <v>99.642887737745468</v>
      </c>
    </row>
    <row r="120" spans="1:21" x14ac:dyDescent="0.2">
      <c r="A120" s="1">
        <v>45776</v>
      </c>
      <c r="B120">
        <v>94157.7</v>
      </c>
      <c r="C120" t="s">
        <v>254</v>
      </c>
      <c r="D120">
        <v>30</v>
      </c>
      <c r="E120">
        <v>120</v>
      </c>
      <c r="F120">
        <v>1</v>
      </c>
      <c r="G120">
        <v>29</v>
      </c>
      <c r="H120" t="s">
        <v>255</v>
      </c>
      <c r="I120">
        <v>31</v>
      </c>
      <c r="J120">
        <v>124</v>
      </c>
      <c r="K120">
        <v>1</v>
      </c>
      <c r="L120">
        <v>30</v>
      </c>
      <c r="M120">
        <v>59</v>
      </c>
      <c r="N120" t="s">
        <v>17</v>
      </c>
      <c r="O120" t="s">
        <v>17</v>
      </c>
      <c r="P120">
        <f t="shared" si="6"/>
        <v>0.96666666666666667</v>
      </c>
      <c r="Q120">
        <f t="shared" si="7"/>
        <v>0.967741935483871</v>
      </c>
      <c r="R120">
        <f t="shared" si="8"/>
        <v>1</v>
      </c>
      <c r="S120">
        <f t="shared" si="9"/>
        <v>1</v>
      </c>
      <c r="T120">
        <f t="shared" si="10"/>
        <v>2</v>
      </c>
      <c r="U120">
        <f t="shared" si="11"/>
        <v>101.64288773774547</v>
      </c>
    </row>
    <row r="121" spans="1:21" x14ac:dyDescent="0.2">
      <c r="A121" s="1">
        <v>45777</v>
      </c>
      <c r="B121">
        <v>95391.1</v>
      </c>
      <c r="C121" t="s">
        <v>256</v>
      </c>
      <c r="D121">
        <v>80</v>
      </c>
      <c r="E121">
        <v>320</v>
      </c>
      <c r="F121">
        <v>1</v>
      </c>
      <c r="G121">
        <v>79</v>
      </c>
      <c r="H121" t="s">
        <v>257</v>
      </c>
      <c r="I121">
        <v>64.5</v>
      </c>
      <c r="J121">
        <v>258</v>
      </c>
      <c r="K121">
        <v>258</v>
      </c>
      <c r="L121">
        <v>-193.5</v>
      </c>
      <c r="M121">
        <v>-114.5</v>
      </c>
      <c r="N121" t="s">
        <v>17</v>
      </c>
      <c r="O121" t="s">
        <v>20</v>
      </c>
      <c r="P121">
        <f t="shared" si="6"/>
        <v>0.98750000000000004</v>
      </c>
      <c r="Q121">
        <f t="shared" si="7"/>
        <v>-3</v>
      </c>
      <c r="R121">
        <f t="shared" si="8"/>
        <v>1</v>
      </c>
      <c r="S121">
        <f t="shared" si="9"/>
        <v>-3</v>
      </c>
      <c r="T121">
        <f t="shared" si="10"/>
        <v>-2</v>
      </c>
      <c r="U121">
        <f t="shared" si="11"/>
        <v>99.642887737745468</v>
      </c>
    </row>
    <row r="122" spans="1:21" x14ac:dyDescent="0.2">
      <c r="A122" s="1">
        <v>45778</v>
      </c>
      <c r="B122">
        <v>94127.1</v>
      </c>
      <c r="C122" t="s">
        <v>258</v>
      </c>
      <c r="D122">
        <v>34</v>
      </c>
      <c r="E122">
        <v>136</v>
      </c>
      <c r="F122">
        <v>1</v>
      </c>
      <c r="G122">
        <v>33</v>
      </c>
      <c r="H122" t="s">
        <v>259</v>
      </c>
      <c r="I122">
        <v>105.5</v>
      </c>
      <c r="J122">
        <v>422</v>
      </c>
      <c r="K122">
        <v>1</v>
      </c>
      <c r="L122">
        <v>104.5</v>
      </c>
      <c r="M122">
        <v>137.5</v>
      </c>
      <c r="N122" t="s">
        <v>17</v>
      </c>
      <c r="O122" t="s">
        <v>17</v>
      </c>
      <c r="P122">
        <f t="shared" si="6"/>
        <v>0.97058823529411764</v>
      </c>
      <c r="Q122">
        <f t="shared" si="7"/>
        <v>0.99052132701421802</v>
      </c>
      <c r="R122">
        <f t="shared" si="8"/>
        <v>1</v>
      </c>
      <c r="S122">
        <f t="shared" si="9"/>
        <v>1</v>
      </c>
      <c r="T122">
        <f t="shared" si="10"/>
        <v>2</v>
      </c>
      <c r="U122">
        <f t="shared" si="11"/>
        <v>101.64288773774547</v>
      </c>
    </row>
    <row r="123" spans="1:21" x14ac:dyDescent="0.2">
      <c r="A123" s="1">
        <v>45779</v>
      </c>
      <c r="B123">
        <v>96811.8</v>
      </c>
      <c r="C123" t="s">
        <v>260</v>
      </c>
      <c r="D123">
        <v>53.5</v>
      </c>
      <c r="E123">
        <v>214</v>
      </c>
      <c r="F123">
        <v>1</v>
      </c>
      <c r="G123">
        <v>52.5</v>
      </c>
      <c r="H123" t="s">
        <v>261</v>
      </c>
      <c r="I123">
        <v>150.5</v>
      </c>
      <c r="J123">
        <v>602</v>
      </c>
      <c r="K123">
        <v>1</v>
      </c>
      <c r="L123">
        <v>149.5</v>
      </c>
      <c r="M123">
        <v>202</v>
      </c>
      <c r="N123" t="s">
        <v>17</v>
      </c>
      <c r="O123" t="s">
        <v>17</v>
      </c>
      <c r="P123">
        <f t="shared" si="6"/>
        <v>0.98130841121495327</v>
      </c>
      <c r="Q123">
        <f t="shared" si="7"/>
        <v>0.99335548172757471</v>
      </c>
      <c r="R123">
        <f t="shared" si="8"/>
        <v>1</v>
      </c>
      <c r="S123">
        <f t="shared" si="9"/>
        <v>1</v>
      </c>
      <c r="T123">
        <f t="shared" si="10"/>
        <v>2</v>
      </c>
      <c r="U123">
        <f t="shared" si="11"/>
        <v>103.64288773774547</v>
      </c>
    </row>
    <row r="124" spans="1:21" x14ac:dyDescent="0.2">
      <c r="A124" s="1">
        <v>45780</v>
      </c>
      <c r="B124">
        <v>97131.9</v>
      </c>
      <c r="C124" t="s">
        <v>262</v>
      </c>
      <c r="D124">
        <v>37</v>
      </c>
      <c r="E124">
        <v>148</v>
      </c>
      <c r="F124">
        <v>1</v>
      </c>
      <c r="G124">
        <v>36</v>
      </c>
      <c r="H124" t="s">
        <v>263</v>
      </c>
      <c r="I124">
        <v>41</v>
      </c>
      <c r="J124">
        <v>164</v>
      </c>
      <c r="K124">
        <v>1</v>
      </c>
      <c r="L124">
        <v>40</v>
      </c>
      <c r="M124">
        <v>76</v>
      </c>
      <c r="N124" t="s">
        <v>17</v>
      </c>
      <c r="O124" t="s">
        <v>17</v>
      </c>
      <c r="P124">
        <f t="shared" si="6"/>
        <v>0.97297297297297303</v>
      </c>
      <c r="Q124">
        <f t="shared" si="7"/>
        <v>0.97560975609756095</v>
      </c>
      <c r="R124">
        <f t="shared" si="8"/>
        <v>1</v>
      </c>
      <c r="S124">
        <f t="shared" si="9"/>
        <v>1</v>
      </c>
      <c r="T124">
        <f t="shared" si="10"/>
        <v>2</v>
      </c>
      <c r="U124">
        <f t="shared" si="11"/>
        <v>105.64288773774547</v>
      </c>
    </row>
    <row r="125" spans="1:21" x14ac:dyDescent="0.2">
      <c r="A125" s="1">
        <v>45781</v>
      </c>
      <c r="B125">
        <v>96147</v>
      </c>
      <c r="C125" t="s">
        <v>264</v>
      </c>
      <c r="D125">
        <v>51</v>
      </c>
      <c r="E125">
        <v>204</v>
      </c>
      <c r="F125">
        <v>1</v>
      </c>
      <c r="G125">
        <v>50</v>
      </c>
      <c r="H125" t="s">
        <v>265</v>
      </c>
      <c r="I125">
        <v>32.5</v>
      </c>
      <c r="J125">
        <v>130</v>
      </c>
      <c r="K125">
        <v>1</v>
      </c>
      <c r="L125">
        <v>31.5</v>
      </c>
      <c r="M125">
        <v>81.5</v>
      </c>
      <c r="N125" t="s">
        <v>17</v>
      </c>
      <c r="O125" t="s">
        <v>17</v>
      </c>
      <c r="P125">
        <f t="shared" si="6"/>
        <v>0.98039215686274506</v>
      </c>
      <c r="Q125">
        <f t="shared" si="7"/>
        <v>0.96923076923076923</v>
      </c>
      <c r="R125">
        <f t="shared" si="8"/>
        <v>1</v>
      </c>
      <c r="S125">
        <f t="shared" si="9"/>
        <v>1</v>
      </c>
      <c r="T125">
        <f t="shared" si="10"/>
        <v>2</v>
      </c>
      <c r="U125">
        <f t="shared" si="11"/>
        <v>107.64288773774547</v>
      </c>
    </row>
    <row r="126" spans="1:21" x14ac:dyDescent="0.2">
      <c r="A126" s="1">
        <v>45782</v>
      </c>
      <c r="B126">
        <v>95364.3</v>
      </c>
      <c r="C126" t="s">
        <v>266</v>
      </c>
      <c r="D126">
        <v>153.5</v>
      </c>
      <c r="E126">
        <v>614</v>
      </c>
      <c r="F126">
        <v>1</v>
      </c>
      <c r="G126">
        <v>152.5</v>
      </c>
      <c r="H126" t="s">
        <v>267</v>
      </c>
      <c r="I126">
        <v>234</v>
      </c>
      <c r="J126">
        <v>936</v>
      </c>
      <c r="K126">
        <v>936</v>
      </c>
      <c r="L126">
        <v>-702</v>
      </c>
      <c r="M126">
        <v>-549.5</v>
      </c>
      <c r="N126" t="s">
        <v>17</v>
      </c>
      <c r="O126" t="s">
        <v>20</v>
      </c>
      <c r="P126">
        <f t="shared" si="6"/>
        <v>0.99348534201954397</v>
      </c>
      <c r="Q126">
        <f t="shared" si="7"/>
        <v>-3</v>
      </c>
      <c r="R126">
        <f t="shared" si="8"/>
        <v>1</v>
      </c>
      <c r="S126">
        <f t="shared" si="9"/>
        <v>-3</v>
      </c>
      <c r="T126">
        <f t="shared" si="10"/>
        <v>-2</v>
      </c>
      <c r="U126">
        <f t="shared" si="11"/>
        <v>105.64288773774547</v>
      </c>
    </row>
    <row r="127" spans="1:21" x14ac:dyDescent="0.2">
      <c r="A127" s="1">
        <v>45783</v>
      </c>
      <c r="B127">
        <v>94712.2</v>
      </c>
      <c r="C127" t="s">
        <v>268</v>
      </c>
      <c r="D127">
        <v>66.5</v>
      </c>
      <c r="E127">
        <v>266</v>
      </c>
      <c r="F127">
        <v>1</v>
      </c>
      <c r="G127">
        <v>65.5</v>
      </c>
      <c r="H127" t="s">
        <v>269</v>
      </c>
      <c r="I127">
        <v>122</v>
      </c>
      <c r="J127">
        <v>488</v>
      </c>
      <c r="K127">
        <v>1</v>
      </c>
      <c r="L127">
        <v>121</v>
      </c>
      <c r="M127">
        <v>186.5</v>
      </c>
      <c r="N127" t="s">
        <v>17</v>
      </c>
      <c r="O127" t="s">
        <v>17</v>
      </c>
      <c r="P127">
        <f t="shared" si="6"/>
        <v>0.98496240601503759</v>
      </c>
      <c r="Q127">
        <f t="shared" si="7"/>
        <v>0.99180327868852458</v>
      </c>
      <c r="R127">
        <f t="shared" si="8"/>
        <v>1</v>
      </c>
      <c r="S127">
        <f t="shared" si="9"/>
        <v>1</v>
      </c>
      <c r="T127">
        <f t="shared" si="10"/>
        <v>2</v>
      </c>
      <c r="U127">
        <f t="shared" si="11"/>
        <v>107.64288773774547</v>
      </c>
    </row>
    <row r="128" spans="1:21" x14ac:dyDescent="0.2">
      <c r="A128" s="1">
        <v>45784</v>
      </c>
      <c r="B128">
        <v>95081.1</v>
      </c>
      <c r="C128" t="s">
        <v>270</v>
      </c>
      <c r="D128">
        <v>93.5</v>
      </c>
      <c r="E128">
        <v>374</v>
      </c>
      <c r="F128">
        <v>374</v>
      </c>
      <c r="G128">
        <v>-280.5</v>
      </c>
      <c r="H128" t="s">
        <v>271</v>
      </c>
      <c r="I128">
        <v>33.5</v>
      </c>
      <c r="J128">
        <v>134</v>
      </c>
      <c r="K128">
        <v>1</v>
      </c>
      <c r="L128">
        <v>32.5</v>
      </c>
      <c r="M128">
        <v>-248</v>
      </c>
      <c r="N128" t="s">
        <v>20</v>
      </c>
      <c r="O128" t="s">
        <v>17</v>
      </c>
      <c r="P128">
        <f t="shared" si="6"/>
        <v>-3</v>
      </c>
      <c r="Q128">
        <f t="shared" si="7"/>
        <v>0.97014925373134331</v>
      </c>
      <c r="R128">
        <f t="shared" si="8"/>
        <v>-3</v>
      </c>
      <c r="S128">
        <f t="shared" si="9"/>
        <v>1</v>
      </c>
      <c r="T128">
        <f t="shared" si="10"/>
        <v>-2</v>
      </c>
      <c r="U128">
        <f t="shared" si="11"/>
        <v>105.64288773774547</v>
      </c>
    </row>
    <row r="129" spans="1:21" x14ac:dyDescent="0.2">
      <c r="A129" s="1">
        <v>45785</v>
      </c>
      <c r="B129">
        <v>96512.1</v>
      </c>
      <c r="C129" t="s">
        <v>272</v>
      </c>
      <c r="D129">
        <v>30.5</v>
      </c>
      <c r="E129">
        <v>122</v>
      </c>
      <c r="F129">
        <v>122</v>
      </c>
      <c r="G129">
        <v>-91.5</v>
      </c>
      <c r="H129" t="s">
        <v>273</v>
      </c>
      <c r="I129">
        <v>72.5</v>
      </c>
      <c r="J129">
        <v>290</v>
      </c>
      <c r="K129">
        <v>1</v>
      </c>
      <c r="L129">
        <v>71.5</v>
      </c>
      <c r="M129">
        <v>-20</v>
      </c>
      <c r="N129" t="s">
        <v>20</v>
      </c>
      <c r="O129" t="s">
        <v>17</v>
      </c>
      <c r="P129">
        <f t="shared" si="6"/>
        <v>-3</v>
      </c>
      <c r="Q129">
        <f t="shared" si="7"/>
        <v>0.98620689655172411</v>
      </c>
      <c r="R129">
        <f t="shared" si="8"/>
        <v>-3</v>
      </c>
      <c r="S129">
        <f t="shared" si="9"/>
        <v>1</v>
      </c>
      <c r="T129">
        <f t="shared" si="10"/>
        <v>-2</v>
      </c>
      <c r="U129">
        <f t="shared" si="11"/>
        <v>103.64288773774547</v>
      </c>
    </row>
    <row r="130" spans="1:21" x14ac:dyDescent="0.2">
      <c r="A130" s="1">
        <v>45786</v>
      </c>
      <c r="B130">
        <v>101299.8</v>
      </c>
      <c r="C130" t="s">
        <v>274</v>
      </c>
      <c r="D130">
        <v>35</v>
      </c>
      <c r="E130">
        <v>140</v>
      </c>
      <c r="F130">
        <v>140</v>
      </c>
      <c r="G130">
        <v>-105</v>
      </c>
      <c r="H130" t="s">
        <v>275</v>
      </c>
      <c r="I130">
        <v>73.5</v>
      </c>
      <c r="J130">
        <v>294</v>
      </c>
      <c r="K130">
        <v>1</v>
      </c>
      <c r="L130">
        <v>72.5</v>
      </c>
      <c r="M130">
        <v>-32.5</v>
      </c>
      <c r="N130" t="s">
        <v>20</v>
      </c>
      <c r="O130" t="s">
        <v>17</v>
      </c>
      <c r="P130">
        <f t="shared" si="6"/>
        <v>-3</v>
      </c>
      <c r="Q130">
        <f t="shared" si="7"/>
        <v>0.98639455782312924</v>
      </c>
      <c r="R130">
        <f t="shared" si="8"/>
        <v>-3</v>
      </c>
      <c r="S130">
        <f t="shared" si="9"/>
        <v>1</v>
      </c>
      <c r="T130">
        <f t="shared" si="10"/>
        <v>-2</v>
      </c>
      <c r="U130">
        <f t="shared" si="11"/>
        <v>101.64288773774547</v>
      </c>
    </row>
    <row r="131" spans="1:21" x14ac:dyDescent="0.2">
      <c r="A131" s="1">
        <v>45787</v>
      </c>
      <c r="B131">
        <v>103188.3</v>
      </c>
      <c r="C131" t="s">
        <v>276</v>
      </c>
      <c r="D131">
        <v>35.5</v>
      </c>
      <c r="E131">
        <v>142</v>
      </c>
      <c r="F131">
        <v>1</v>
      </c>
      <c r="G131">
        <v>34.5</v>
      </c>
      <c r="H131" t="s">
        <v>277</v>
      </c>
      <c r="I131">
        <v>36.5</v>
      </c>
      <c r="J131">
        <v>146</v>
      </c>
      <c r="K131">
        <v>1</v>
      </c>
      <c r="L131">
        <v>35.5</v>
      </c>
      <c r="M131">
        <v>70</v>
      </c>
      <c r="N131" t="s">
        <v>17</v>
      </c>
      <c r="O131" t="s">
        <v>17</v>
      </c>
      <c r="P131">
        <f t="shared" ref="P131:P194" si="12">G131/D131</f>
        <v>0.971830985915493</v>
      </c>
      <c r="Q131">
        <f t="shared" ref="Q131:Q194" si="13">L131/I131</f>
        <v>0.9726027397260274</v>
      </c>
      <c r="R131">
        <f t="shared" ref="R131:R194" si="14">IF(P131&gt;0.9,1,P131)</f>
        <v>1</v>
      </c>
      <c r="S131">
        <f t="shared" ref="S131:S194" si="15">IF(Q131&gt;0.9,1,Q131)</f>
        <v>1</v>
      </c>
      <c r="T131">
        <f t="shared" ref="T131:T194" si="16">S131+R131</f>
        <v>2</v>
      </c>
      <c r="U131">
        <f t="shared" si="11"/>
        <v>103.64288773774547</v>
      </c>
    </row>
    <row r="132" spans="1:21" x14ac:dyDescent="0.2">
      <c r="A132" s="1">
        <v>45788</v>
      </c>
      <c r="B132">
        <v>103251.1</v>
      </c>
      <c r="C132" t="s">
        <v>278</v>
      </c>
      <c r="D132">
        <v>62</v>
      </c>
      <c r="E132">
        <v>248</v>
      </c>
      <c r="F132">
        <v>248</v>
      </c>
      <c r="G132">
        <v>-186</v>
      </c>
      <c r="H132" t="s">
        <v>279</v>
      </c>
      <c r="I132">
        <v>80</v>
      </c>
      <c r="J132">
        <v>320</v>
      </c>
      <c r="K132">
        <v>1</v>
      </c>
      <c r="L132">
        <v>79</v>
      </c>
      <c r="M132">
        <v>-107</v>
      </c>
      <c r="N132" t="s">
        <v>20</v>
      </c>
      <c r="O132" t="s">
        <v>17</v>
      </c>
      <c r="P132">
        <f t="shared" si="12"/>
        <v>-3</v>
      </c>
      <c r="Q132">
        <f t="shared" si="13"/>
        <v>0.98750000000000004</v>
      </c>
      <c r="R132">
        <f t="shared" si="14"/>
        <v>-3</v>
      </c>
      <c r="S132">
        <f t="shared" si="15"/>
        <v>1</v>
      </c>
      <c r="T132">
        <f t="shared" si="16"/>
        <v>-2</v>
      </c>
      <c r="U132">
        <f t="shared" ref="U132:U195" si="17">U131+T132</f>
        <v>101.64288773774547</v>
      </c>
    </row>
    <row r="133" spans="1:21" x14ac:dyDescent="0.2">
      <c r="A133" s="1">
        <v>45789</v>
      </c>
      <c r="B133">
        <v>104522.3</v>
      </c>
      <c r="C133" t="s">
        <v>280</v>
      </c>
      <c r="D133">
        <v>220</v>
      </c>
      <c r="E133">
        <v>880</v>
      </c>
      <c r="F133">
        <v>1</v>
      </c>
      <c r="G133">
        <v>219</v>
      </c>
      <c r="H133" t="s">
        <v>281</v>
      </c>
      <c r="I133">
        <v>30</v>
      </c>
      <c r="J133">
        <v>120</v>
      </c>
      <c r="K133">
        <v>1</v>
      </c>
      <c r="L133">
        <v>29</v>
      </c>
      <c r="M133">
        <v>248</v>
      </c>
      <c r="N133" t="s">
        <v>17</v>
      </c>
      <c r="O133" t="s">
        <v>17</v>
      </c>
      <c r="P133">
        <f t="shared" si="12"/>
        <v>0.99545454545454548</v>
      </c>
      <c r="Q133">
        <f t="shared" si="13"/>
        <v>0.96666666666666667</v>
      </c>
      <c r="R133">
        <f t="shared" si="14"/>
        <v>1</v>
      </c>
      <c r="S133">
        <f t="shared" si="15"/>
        <v>1</v>
      </c>
      <c r="T133">
        <f t="shared" si="16"/>
        <v>2</v>
      </c>
      <c r="U133">
        <f t="shared" si="17"/>
        <v>103.64288773774547</v>
      </c>
    </row>
    <row r="134" spans="1:21" x14ac:dyDescent="0.2">
      <c r="A134" s="1">
        <v>45790</v>
      </c>
      <c r="B134">
        <v>101652.3</v>
      </c>
      <c r="C134" t="s">
        <v>282</v>
      </c>
      <c r="D134">
        <v>73</v>
      </c>
      <c r="E134">
        <v>292</v>
      </c>
      <c r="F134">
        <v>1</v>
      </c>
      <c r="G134">
        <v>72</v>
      </c>
      <c r="H134" t="s">
        <v>283</v>
      </c>
      <c r="I134">
        <v>81</v>
      </c>
      <c r="J134">
        <v>324</v>
      </c>
      <c r="K134">
        <v>1</v>
      </c>
      <c r="L134">
        <v>80</v>
      </c>
      <c r="M134">
        <v>152</v>
      </c>
      <c r="N134" t="s">
        <v>17</v>
      </c>
      <c r="O134" t="s">
        <v>17</v>
      </c>
      <c r="P134">
        <f t="shared" si="12"/>
        <v>0.98630136986301364</v>
      </c>
      <c r="Q134">
        <f t="shared" si="13"/>
        <v>0.98765432098765427</v>
      </c>
      <c r="R134">
        <f t="shared" si="14"/>
        <v>1</v>
      </c>
      <c r="S134">
        <f t="shared" si="15"/>
        <v>1</v>
      </c>
      <c r="T134">
        <f t="shared" si="16"/>
        <v>2</v>
      </c>
      <c r="U134">
        <f t="shared" si="17"/>
        <v>105.64288773774547</v>
      </c>
    </row>
    <row r="135" spans="1:21" x14ac:dyDescent="0.2">
      <c r="A135" s="1">
        <v>45791</v>
      </c>
      <c r="B135">
        <v>104289.2</v>
      </c>
      <c r="C135" t="s">
        <v>284</v>
      </c>
      <c r="D135">
        <v>61</v>
      </c>
      <c r="E135">
        <v>244</v>
      </c>
      <c r="F135">
        <v>1</v>
      </c>
      <c r="G135">
        <v>60</v>
      </c>
      <c r="H135" t="s">
        <v>285</v>
      </c>
      <c r="I135">
        <v>38.5</v>
      </c>
      <c r="J135">
        <v>154</v>
      </c>
      <c r="K135">
        <v>1</v>
      </c>
      <c r="L135">
        <v>37.5</v>
      </c>
      <c r="M135">
        <v>97.5</v>
      </c>
      <c r="N135" t="s">
        <v>17</v>
      </c>
      <c r="O135" t="s">
        <v>17</v>
      </c>
      <c r="P135">
        <f t="shared" si="12"/>
        <v>0.98360655737704916</v>
      </c>
      <c r="Q135">
        <f t="shared" si="13"/>
        <v>0.97402597402597402</v>
      </c>
      <c r="R135">
        <f t="shared" si="14"/>
        <v>1</v>
      </c>
      <c r="S135">
        <f t="shared" si="15"/>
        <v>1</v>
      </c>
      <c r="T135">
        <f t="shared" si="16"/>
        <v>2</v>
      </c>
      <c r="U135">
        <f t="shared" si="17"/>
        <v>107.64288773774547</v>
      </c>
    </row>
    <row r="136" spans="1:21" x14ac:dyDescent="0.2">
      <c r="A136" s="1">
        <v>45792</v>
      </c>
      <c r="B136">
        <v>103487.9</v>
      </c>
      <c r="C136" t="s">
        <v>286</v>
      </c>
      <c r="D136">
        <v>111</v>
      </c>
      <c r="E136">
        <v>444</v>
      </c>
      <c r="F136">
        <v>1</v>
      </c>
      <c r="G136">
        <v>110</v>
      </c>
      <c r="H136" t="s">
        <v>287</v>
      </c>
      <c r="I136">
        <v>155.5</v>
      </c>
      <c r="J136">
        <v>622</v>
      </c>
      <c r="K136">
        <v>622</v>
      </c>
      <c r="L136">
        <v>-466.5</v>
      </c>
      <c r="M136">
        <v>-356.5</v>
      </c>
      <c r="N136" t="s">
        <v>17</v>
      </c>
      <c r="O136" t="s">
        <v>20</v>
      </c>
      <c r="P136">
        <f t="shared" si="12"/>
        <v>0.99099099099099097</v>
      </c>
      <c r="Q136">
        <f t="shared" si="13"/>
        <v>-3</v>
      </c>
      <c r="R136">
        <f t="shared" si="14"/>
        <v>1</v>
      </c>
      <c r="S136">
        <f t="shared" si="15"/>
        <v>-3</v>
      </c>
      <c r="T136">
        <f t="shared" si="16"/>
        <v>-2</v>
      </c>
      <c r="U136">
        <f t="shared" si="17"/>
        <v>105.64288773774547</v>
      </c>
    </row>
    <row r="137" spans="1:21" x14ac:dyDescent="0.2">
      <c r="A137" s="1">
        <v>45793</v>
      </c>
      <c r="B137">
        <v>102749.1</v>
      </c>
      <c r="C137" t="s">
        <v>288</v>
      </c>
      <c r="D137">
        <v>73.5</v>
      </c>
      <c r="E137">
        <v>294</v>
      </c>
      <c r="F137">
        <v>1</v>
      </c>
      <c r="G137">
        <v>72.5</v>
      </c>
      <c r="H137" t="s">
        <v>289</v>
      </c>
      <c r="I137">
        <v>88</v>
      </c>
      <c r="J137">
        <v>352</v>
      </c>
      <c r="K137">
        <v>1</v>
      </c>
      <c r="L137">
        <v>87</v>
      </c>
      <c r="M137">
        <v>159.5</v>
      </c>
      <c r="N137" t="s">
        <v>17</v>
      </c>
      <c r="O137" t="s">
        <v>17</v>
      </c>
      <c r="P137">
        <f t="shared" si="12"/>
        <v>0.98639455782312924</v>
      </c>
      <c r="Q137">
        <f t="shared" si="13"/>
        <v>0.98863636363636365</v>
      </c>
      <c r="R137">
        <f t="shared" si="14"/>
        <v>1</v>
      </c>
      <c r="S137">
        <f t="shared" si="15"/>
        <v>1</v>
      </c>
      <c r="T137">
        <f t="shared" si="16"/>
        <v>2</v>
      </c>
      <c r="U137">
        <f t="shared" si="17"/>
        <v>107.64288773774547</v>
      </c>
    </row>
    <row r="138" spans="1:21" x14ac:dyDescent="0.2">
      <c r="A138" s="1">
        <v>45794</v>
      </c>
      <c r="B138">
        <v>103699.7</v>
      </c>
      <c r="C138" t="s">
        <v>290</v>
      </c>
      <c r="D138">
        <v>50</v>
      </c>
      <c r="E138">
        <v>200</v>
      </c>
      <c r="F138">
        <v>1</v>
      </c>
      <c r="G138">
        <v>49</v>
      </c>
      <c r="H138" t="s">
        <v>291</v>
      </c>
      <c r="I138">
        <v>36.5</v>
      </c>
      <c r="J138">
        <v>146</v>
      </c>
      <c r="K138">
        <v>146</v>
      </c>
      <c r="L138">
        <v>-109.5</v>
      </c>
      <c r="M138">
        <v>-60.5</v>
      </c>
      <c r="N138" t="s">
        <v>17</v>
      </c>
      <c r="O138" t="s">
        <v>20</v>
      </c>
      <c r="P138">
        <f t="shared" si="12"/>
        <v>0.98</v>
      </c>
      <c r="Q138">
        <f t="shared" si="13"/>
        <v>-3</v>
      </c>
      <c r="R138">
        <f t="shared" si="14"/>
        <v>1</v>
      </c>
      <c r="S138">
        <f t="shared" si="15"/>
        <v>-3</v>
      </c>
      <c r="T138">
        <f t="shared" si="16"/>
        <v>-2</v>
      </c>
      <c r="U138">
        <f t="shared" si="17"/>
        <v>105.64288773774547</v>
      </c>
    </row>
    <row r="139" spans="1:21" x14ac:dyDescent="0.2">
      <c r="A139" s="1">
        <v>45795</v>
      </c>
      <c r="B139">
        <v>102962.2</v>
      </c>
      <c r="C139" t="s">
        <v>292</v>
      </c>
      <c r="D139">
        <v>80</v>
      </c>
      <c r="E139">
        <v>320</v>
      </c>
      <c r="F139">
        <v>320</v>
      </c>
      <c r="G139">
        <v>-240</v>
      </c>
      <c r="H139" t="s">
        <v>293</v>
      </c>
      <c r="I139">
        <v>30</v>
      </c>
      <c r="J139">
        <v>120</v>
      </c>
      <c r="K139">
        <v>1</v>
      </c>
      <c r="L139">
        <v>29</v>
      </c>
      <c r="M139">
        <v>-211</v>
      </c>
      <c r="N139" t="s">
        <v>20</v>
      </c>
      <c r="O139" t="s">
        <v>17</v>
      </c>
      <c r="P139">
        <f t="shared" si="12"/>
        <v>-3</v>
      </c>
      <c r="Q139">
        <f t="shared" si="13"/>
        <v>0.96666666666666667</v>
      </c>
      <c r="R139">
        <f t="shared" si="14"/>
        <v>-3</v>
      </c>
      <c r="S139">
        <f t="shared" si="15"/>
        <v>1</v>
      </c>
      <c r="T139">
        <f t="shared" si="16"/>
        <v>-2</v>
      </c>
      <c r="U139">
        <f t="shared" si="17"/>
        <v>103.64288773774547</v>
      </c>
    </row>
    <row r="140" spans="1:21" x14ac:dyDescent="0.2">
      <c r="A140" s="1">
        <v>45796</v>
      </c>
      <c r="B140">
        <v>104477.2</v>
      </c>
      <c r="C140" t="s">
        <v>294</v>
      </c>
      <c r="D140">
        <v>125.5</v>
      </c>
      <c r="E140">
        <v>502</v>
      </c>
      <c r="F140">
        <v>502</v>
      </c>
      <c r="G140">
        <v>-376.5</v>
      </c>
      <c r="H140" t="s">
        <v>295</v>
      </c>
      <c r="I140">
        <v>31</v>
      </c>
      <c r="J140">
        <v>124</v>
      </c>
      <c r="K140">
        <v>124</v>
      </c>
      <c r="L140">
        <v>-93</v>
      </c>
      <c r="M140">
        <v>-469.5</v>
      </c>
      <c r="N140" t="s">
        <v>20</v>
      </c>
      <c r="O140" t="s">
        <v>20</v>
      </c>
      <c r="P140">
        <f t="shared" si="12"/>
        <v>-3</v>
      </c>
      <c r="Q140">
        <f t="shared" si="13"/>
        <v>-3</v>
      </c>
      <c r="R140">
        <f t="shared" si="14"/>
        <v>-3</v>
      </c>
      <c r="S140">
        <f t="shared" si="15"/>
        <v>-3</v>
      </c>
      <c r="T140">
        <f t="shared" si="16"/>
        <v>-6</v>
      </c>
      <c r="U140">
        <f t="shared" si="17"/>
        <v>97.642887737745468</v>
      </c>
    </row>
    <row r="141" spans="1:21" x14ac:dyDescent="0.2">
      <c r="A141" s="1">
        <v>45797</v>
      </c>
      <c r="B141">
        <v>104842.4</v>
      </c>
      <c r="C141" t="s">
        <v>296</v>
      </c>
      <c r="D141">
        <v>185.5</v>
      </c>
      <c r="E141">
        <v>742</v>
      </c>
      <c r="F141">
        <v>742</v>
      </c>
      <c r="G141">
        <v>-556.5</v>
      </c>
      <c r="H141" t="s">
        <v>297</v>
      </c>
      <c r="I141">
        <v>33</v>
      </c>
      <c r="J141">
        <v>132</v>
      </c>
      <c r="K141">
        <v>1</v>
      </c>
      <c r="L141">
        <v>32</v>
      </c>
      <c r="M141">
        <v>-524.5</v>
      </c>
      <c r="N141" t="s">
        <v>20</v>
      </c>
      <c r="O141" t="s">
        <v>17</v>
      </c>
      <c r="P141">
        <f t="shared" si="12"/>
        <v>-3</v>
      </c>
      <c r="Q141">
        <f t="shared" si="13"/>
        <v>0.96969696969696972</v>
      </c>
      <c r="R141">
        <f t="shared" si="14"/>
        <v>-3</v>
      </c>
      <c r="S141">
        <f t="shared" si="15"/>
        <v>1</v>
      </c>
      <c r="T141">
        <f t="shared" si="16"/>
        <v>-2</v>
      </c>
      <c r="U141">
        <f t="shared" si="17"/>
        <v>95.642887737745468</v>
      </c>
    </row>
    <row r="142" spans="1:21" x14ac:dyDescent="0.2">
      <c r="A142" s="1">
        <v>45798</v>
      </c>
      <c r="B142">
        <v>105286.1</v>
      </c>
      <c r="C142" t="s">
        <v>298</v>
      </c>
      <c r="D142">
        <v>70</v>
      </c>
      <c r="E142">
        <v>280</v>
      </c>
      <c r="F142">
        <v>280</v>
      </c>
      <c r="G142">
        <v>-210</v>
      </c>
      <c r="H142" t="s">
        <v>299</v>
      </c>
      <c r="I142">
        <v>33</v>
      </c>
      <c r="J142">
        <v>132</v>
      </c>
      <c r="K142">
        <v>1</v>
      </c>
      <c r="L142">
        <v>32</v>
      </c>
      <c r="M142">
        <v>-178</v>
      </c>
      <c r="N142" t="s">
        <v>20</v>
      </c>
      <c r="O142" t="s">
        <v>17</v>
      </c>
      <c r="P142">
        <f t="shared" si="12"/>
        <v>-3</v>
      </c>
      <c r="Q142">
        <f t="shared" si="13"/>
        <v>0.96969696969696972</v>
      </c>
      <c r="R142">
        <f t="shared" si="14"/>
        <v>-3</v>
      </c>
      <c r="S142">
        <f t="shared" si="15"/>
        <v>1</v>
      </c>
      <c r="T142">
        <f t="shared" si="16"/>
        <v>-2</v>
      </c>
      <c r="U142">
        <f t="shared" si="17"/>
        <v>93.642887737745468</v>
      </c>
    </row>
    <row r="143" spans="1:21" x14ac:dyDescent="0.2">
      <c r="A143" s="1">
        <v>45799</v>
      </c>
      <c r="B143">
        <v>106991.1</v>
      </c>
      <c r="C143" t="s">
        <v>300</v>
      </c>
      <c r="D143">
        <v>35</v>
      </c>
      <c r="E143">
        <v>140</v>
      </c>
      <c r="F143">
        <v>140</v>
      </c>
      <c r="G143">
        <v>-105</v>
      </c>
      <c r="H143" t="s">
        <v>301</v>
      </c>
      <c r="I143">
        <v>48.8</v>
      </c>
      <c r="J143">
        <v>195.2</v>
      </c>
      <c r="K143">
        <v>1</v>
      </c>
      <c r="L143">
        <v>47.8</v>
      </c>
      <c r="M143">
        <v>-57.2</v>
      </c>
      <c r="N143" t="s">
        <v>20</v>
      </c>
      <c r="O143" t="s">
        <v>17</v>
      </c>
      <c r="P143">
        <f t="shared" si="12"/>
        <v>-3</v>
      </c>
      <c r="Q143">
        <f t="shared" si="13"/>
        <v>0.97950819672131151</v>
      </c>
      <c r="R143">
        <f t="shared" si="14"/>
        <v>-3</v>
      </c>
      <c r="S143">
        <f t="shared" si="15"/>
        <v>1</v>
      </c>
      <c r="T143">
        <f t="shared" si="16"/>
        <v>-2</v>
      </c>
      <c r="U143">
        <f t="shared" si="17"/>
        <v>91.642887737745468</v>
      </c>
    </row>
    <row r="144" spans="1:21" x14ac:dyDescent="0.2">
      <c r="A144" s="1">
        <v>45800</v>
      </c>
      <c r="B144">
        <v>111752.2</v>
      </c>
      <c r="C144" t="s">
        <v>302</v>
      </c>
      <c r="D144">
        <v>124.5</v>
      </c>
      <c r="E144">
        <v>498</v>
      </c>
      <c r="F144">
        <v>1</v>
      </c>
      <c r="G144">
        <v>123.5</v>
      </c>
      <c r="H144" t="s">
        <v>303</v>
      </c>
      <c r="I144">
        <v>142.5</v>
      </c>
      <c r="J144">
        <v>570</v>
      </c>
      <c r="K144">
        <v>1</v>
      </c>
      <c r="L144">
        <v>141.5</v>
      </c>
      <c r="M144">
        <v>265</v>
      </c>
      <c r="N144" t="s">
        <v>17</v>
      </c>
      <c r="O144" t="s">
        <v>17</v>
      </c>
      <c r="P144">
        <f t="shared" si="12"/>
        <v>0.99196787148594379</v>
      </c>
      <c r="Q144">
        <f t="shared" si="13"/>
        <v>0.99298245614035086</v>
      </c>
      <c r="R144">
        <f t="shared" si="14"/>
        <v>1</v>
      </c>
      <c r="S144">
        <f t="shared" si="15"/>
        <v>1</v>
      </c>
      <c r="T144">
        <f t="shared" si="16"/>
        <v>2</v>
      </c>
      <c r="U144">
        <f t="shared" si="17"/>
        <v>93.642887737745468</v>
      </c>
    </row>
    <row r="145" spans="1:21" x14ac:dyDescent="0.2">
      <c r="A145" s="1">
        <v>45801</v>
      </c>
      <c r="B145">
        <v>108763.2</v>
      </c>
      <c r="C145" t="s">
        <v>304</v>
      </c>
      <c r="D145">
        <v>40.5</v>
      </c>
      <c r="E145">
        <v>162</v>
      </c>
      <c r="F145">
        <v>1</v>
      </c>
      <c r="G145">
        <v>39.5</v>
      </c>
      <c r="H145" t="s">
        <v>305</v>
      </c>
      <c r="I145">
        <v>100</v>
      </c>
      <c r="J145">
        <v>400</v>
      </c>
      <c r="K145">
        <v>400</v>
      </c>
      <c r="L145">
        <v>-300</v>
      </c>
      <c r="M145">
        <v>-260.5</v>
      </c>
      <c r="N145" t="s">
        <v>17</v>
      </c>
      <c r="O145" t="s">
        <v>20</v>
      </c>
      <c r="P145">
        <f t="shared" si="12"/>
        <v>0.97530864197530864</v>
      </c>
      <c r="Q145">
        <f t="shared" si="13"/>
        <v>-3</v>
      </c>
      <c r="R145">
        <f t="shared" si="14"/>
        <v>1</v>
      </c>
      <c r="S145">
        <f t="shared" si="15"/>
        <v>-3</v>
      </c>
      <c r="T145">
        <f t="shared" si="16"/>
        <v>-2</v>
      </c>
      <c r="U145">
        <f t="shared" si="17"/>
        <v>91.642887737745468</v>
      </c>
    </row>
    <row r="146" spans="1:21" x14ac:dyDescent="0.2">
      <c r="A146" s="1">
        <v>45802</v>
      </c>
      <c r="B146">
        <v>108861.1</v>
      </c>
      <c r="C146" t="s">
        <v>306</v>
      </c>
      <c r="D146">
        <v>66</v>
      </c>
      <c r="E146">
        <v>264</v>
      </c>
      <c r="F146">
        <v>1</v>
      </c>
      <c r="G146">
        <v>65</v>
      </c>
      <c r="H146" t="s">
        <v>307</v>
      </c>
      <c r="I146">
        <v>31.5</v>
      </c>
      <c r="J146">
        <v>126</v>
      </c>
      <c r="K146">
        <v>126</v>
      </c>
      <c r="L146">
        <v>-94.5</v>
      </c>
      <c r="M146">
        <v>-29.5</v>
      </c>
      <c r="N146" t="s">
        <v>17</v>
      </c>
      <c r="O146" t="s">
        <v>20</v>
      </c>
      <c r="P146">
        <f t="shared" si="12"/>
        <v>0.98484848484848486</v>
      </c>
      <c r="Q146">
        <f t="shared" si="13"/>
        <v>-3</v>
      </c>
      <c r="R146">
        <f t="shared" si="14"/>
        <v>1</v>
      </c>
      <c r="S146">
        <f t="shared" si="15"/>
        <v>-3</v>
      </c>
      <c r="T146">
        <f t="shared" si="16"/>
        <v>-2</v>
      </c>
      <c r="U146">
        <f t="shared" si="17"/>
        <v>89.642887737745468</v>
      </c>
    </row>
    <row r="147" spans="1:21" x14ac:dyDescent="0.2">
      <c r="A147" s="1">
        <v>45803</v>
      </c>
      <c r="B147">
        <v>107415.9</v>
      </c>
      <c r="C147" t="s">
        <v>308</v>
      </c>
      <c r="D147">
        <v>53</v>
      </c>
      <c r="E147">
        <v>212</v>
      </c>
      <c r="F147">
        <v>1</v>
      </c>
      <c r="G147">
        <v>52</v>
      </c>
      <c r="H147" t="s">
        <v>309</v>
      </c>
      <c r="I147">
        <v>55</v>
      </c>
      <c r="J147">
        <v>220</v>
      </c>
      <c r="K147">
        <v>1</v>
      </c>
      <c r="L147">
        <v>54</v>
      </c>
      <c r="M147">
        <v>106</v>
      </c>
      <c r="N147" t="s">
        <v>17</v>
      </c>
      <c r="O147" t="s">
        <v>17</v>
      </c>
      <c r="P147">
        <f t="shared" si="12"/>
        <v>0.98113207547169812</v>
      </c>
      <c r="Q147">
        <f t="shared" si="13"/>
        <v>0.98181818181818181</v>
      </c>
      <c r="R147">
        <f t="shared" si="14"/>
        <v>1</v>
      </c>
      <c r="S147">
        <f t="shared" si="15"/>
        <v>1</v>
      </c>
      <c r="T147">
        <f t="shared" si="16"/>
        <v>2</v>
      </c>
      <c r="U147">
        <f t="shared" si="17"/>
        <v>91.642887737745468</v>
      </c>
    </row>
    <row r="148" spans="1:21" x14ac:dyDescent="0.2">
      <c r="A148" s="1">
        <v>45804</v>
      </c>
      <c r="B148">
        <v>108960.4</v>
      </c>
      <c r="C148" t="s">
        <v>310</v>
      </c>
      <c r="D148">
        <v>60.5</v>
      </c>
      <c r="E148">
        <v>242</v>
      </c>
      <c r="F148">
        <v>1</v>
      </c>
      <c r="G148">
        <v>59.5</v>
      </c>
      <c r="H148" t="s">
        <v>311</v>
      </c>
      <c r="I148">
        <v>41</v>
      </c>
      <c r="J148">
        <v>164</v>
      </c>
      <c r="K148">
        <v>164</v>
      </c>
      <c r="L148">
        <v>-123</v>
      </c>
      <c r="M148">
        <v>-63.5</v>
      </c>
      <c r="N148" t="s">
        <v>17</v>
      </c>
      <c r="O148" t="s">
        <v>20</v>
      </c>
      <c r="P148">
        <f t="shared" si="12"/>
        <v>0.98347107438016534</v>
      </c>
      <c r="Q148">
        <f t="shared" si="13"/>
        <v>-3</v>
      </c>
      <c r="R148">
        <f t="shared" si="14"/>
        <v>1</v>
      </c>
      <c r="S148">
        <f t="shared" si="15"/>
        <v>-3</v>
      </c>
      <c r="T148">
        <f t="shared" si="16"/>
        <v>-2</v>
      </c>
      <c r="U148">
        <f t="shared" si="17"/>
        <v>89.642887737745468</v>
      </c>
    </row>
    <row r="149" spans="1:21" x14ac:dyDescent="0.2">
      <c r="A149" s="1">
        <v>45805</v>
      </c>
      <c r="B149">
        <v>109818.8</v>
      </c>
      <c r="C149" t="s">
        <v>312</v>
      </c>
      <c r="D149">
        <v>30</v>
      </c>
      <c r="E149">
        <v>120</v>
      </c>
      <c r="F149">
        <v>1</v>
      </c>
      <c r="G149">
        <v>29</v>
      </c>
      <c r="H149" t="s">
        <v>313</v>
      </c>
      <c r="I149">
        <v>602</v>
      </c>
      <c r="J149">
        <v>2408</v>
      </c>
      <c r="K149">
        <v>784.12758620686998</v>
      </c>
      <c r="L149">
        <v>-182.12758620686901</v>
      </c>
      <c r="M149">
        <v>-153.12758620686901</v>
      </c>
      <c r="N149" t="s">
        <v>17</v>
      </c>
      <c r="O149" t="s">
        <v>247</v>
      </c>
      <c r="P149">
        <f t="shared" si="12"/>
        <v>0.96666666666666667</v>
      </c>
      <c r="Q149">
        <f t="shared" si="13"/>
        <v>-0.30253751861606148</v>
      </c>
      <c r="R149">
        <f t="shared" si="14"/>
        <v>1</v>
      </c>
      <c r="S149">
        <f t="shared" si="15"/>
        <v>-0.30253751861606148</v>
      </c>
      <c r="T149">
        <f t="shared" si="16"/>
        <v>0.69746248138393852</v>
      </c>
      <c r="U149">
        <f t="shared" si="17"/>
        <v>90.340350219129405</v>
      </c>
    </row>
    <row r="150" spans="1:21" x14ac:dyDescent="0.2">
      <c r="A150" s="1">
        <v>45806</v>
      </c>
      <c r="B150">
        <v>107506.6</v>
      </c>
      <c r="C150" t="s">
        <v>314</v>
      </c>
      <c r="D150">
        <v>82.5</v>
      </c>
      <c r="E150">
        <v>330</v>
      </c>
      <c r="F150">
        <v>1</v>
      </c>
      <c r="G150">
        <v>81.5</v>
      </c>
      <c r="H150" t="s">
        <v>315</v>
      </c>
      <c r="I150">
        <v>550</v>
      </c>
      <c r="J150">
        <v>2200</v>
      </c>
      <c r="K150">
        <v>1</v>
      </c>
      <c r="L150">
        <v>549</v>
      </c>
      <c r="M150">
        <v>630.5</v>
      </c>
      <c r="N150" t="s">
        <v>17</v>
      </c>
      <c r="O150" t="s">
        <v>17</v>
      </c>
      <c r="P150">
        <f t="shared" si="12"/>
        <v>0.98787878787878791</v>
      </c>
      <c r="Q150">
        <f t="shared" si="13"/>
        <v>0.99818181818181817</v>
      </c>
      <c r="R150">
        <f t="shared" si="14"/>
        <v>1</v>
      </c>
      <c r="S150">
        <f t="shared" si="15"/>
        <v>1</v>
      </c>
      <c r="T150">
        <f t="shared" si="16"/>
        <v>2</v>
      </c>
      <c r="U150">
        <f t="shared" si="17"/>
        <v>92.340350219129405</v>
      </c>
    </row>
    <row r="151" spans="1:21" x14ac:dyDescent="0.2">
      <c r="A151" s="1">
        <v>45807</v>
      </c>
      <c r="B151">
        <v>105909.9</v>
      </c>
      <c r="C151" t="s">
        <v>316</v>
      </c>
      <c r="D151">
        <v>72</v>
      </c>
      <c r="E151">
        <v>288</v>
      </c>
      <c r="F151">
        <v>1</v>
      </c>
      <c r="G151">
        <v>71</v>
      </c>
      <c r="H151" t="s">
        <v>317</v>
      </c>
      <c r="I151">
        <v>31</v>
      </c>
      <c r="J151">
        <v>124</v>
      </c>
      <c r="K151">
        <v>1</v>
      </c>
      <c r="L151">
        <v>30</v>
      </c>
      <c r="M151">
        <v>101</v>
      </c>
      <c r="N151" t="s">
        <v>17</v>
      </c>
      <c r="O151" t="s">
        <v>17</v>
      </c>
      <c r="P151">
        <f t="shared" si="12"/>
        <v>0.98611111111111116</v>
      </c>
      <c r="Q151">
        <f t="shared" si="13"/>
        <v>0.967741935483871</v>
      </c>
      <c r="R151">
        <f t="shared" si="14"/>
        <v>1</v>
      </c>
      <c r="S151">
        <f t="shared" si="15"/>
        <v>1</v>
      </c>
      <c r="T151">
        <f t="shared" si="16"/>
        <v>2</v>
      </c>
      <c r="U151">
        <f t="shared" si="17"/>
        <v>94.340350219129405</v>
      </c>
    </row>
    <row r="152" spans="1:21" x14ac:dyDescent="0.2">
      <c r="A152" s="1">
        <v>45808</v>
      </c>
      <c r="B152">
        <v>104901.3</v>
      </c>
      <c r="C152" t="s">
        <v>318</v>
      </c>
      <c r="D152">
        <v>70</v>
      </c>
      <c r="E152">
        <v>280</v>
      </c>
      <c r="F152">
        <v>1</v>
      </c>
      <c r="G152">
        <v>69</v>
      </c>
      <c r="H152" t="s">
        <v>319</v>
      </c>
      <c r="I152">
        <v>32</v>
      </c>
      <c r="J152">
        <v>128</v>
      </c>
      <c r="K152">
        <v>128</v>
      </c>
      <c r="L152">
        <v>-96</v>
      </c>
      <c r="M152">
        <v>-27</v>
      </c>
      <c r="N152" t="s">
        <v>17</v>
      </c>
      <c r="O152" t="s">
        <v>20</v>
      </c>
      <c r="P152">
        <f t="shared" si="12"/>
        <v>0.98571428571428577</v>
      </c>
      <c r="Q152">
        <f t="shared" si="13"/>
        <v>-3</v>
      </c>
      <c r="R152">
        <f t="shared" si="14"/>
        <v>1</v>
      </c>
      <c r="S152">
        <f t="shared" si="15"/>
        <v>-3</v>
      </c>
      <c r="T152">
        <f t="shared" si="16"/>
        <v>-2</v>
      </c>
      <c r="U152">
        <f t="shared" si="17"/>
        <v>92.340350219129405</v>
      </c>
    </row>
    <row r="153" spans="1:21" x14ac:dyDescent="0.2">
      <c r="A153" s="3">
        <v>45809</v>
      </c>
      <c r="B153" s="2">
        <v>104557.3</v>
      </c>
      <c r="C153" s="2" t="s">
        <v>320</v>
      </c>
      <c r="D153" s="2">
        <v>51</v>
      </c>
      <c r="E153" s="2">
        <v>204</v>
      </c>
      <c r="F153" s="2">
        <v>1</v>
      </c>
      <c r="G153" s="2">
        <v>50</v>
      </c>
      <c r="H153" s="2" t="s">
        <v>321</v>
      </c>
      <c r="I153" s="2">
        <v>37</v>
      </c>
      <c r="J153" s="2">
        <v>148</v>
      </c>
      <c r="K153" s="2">
        <v>1</v>
      </c>
      <c r="L153" s="2">
        <v>36</v>
      </c>
      <c r="M153" s="2">
        <v>86</v>
      </c>
      <c r="N153" s="2" t="s">
        <v>17</v>
      </c>
      <c r="O153" s="2" t="s">
        <v>17</v>
      </c>
      <c r="P153">
        <f t="shared" si="12"/>
        <v>0.98039215686274506</v>
      </c>
      <c r="Q153">
        <f t="shared" si="13"/>
        <v>0.97297297297297303</v>
      </c>
      <c r="R153">
        <f t="shared" si="14"/>
        <v>1</v>
      </c>
      <c r="S153">
        <f t="shared" si="15"/>
        <v>1</v>
      </c>
      <c r="T153">
        <f t="shared" si="16"/>
        <v>2</v>
      </c>
      <c r="U153">
        <f t="shared" si="17"/>
        <v>94.340350219129405</v>
      </c>
    </row>
    <row r="154" spans="1:21" x14ac:dyDescent="0.2">
      <c r="A154" s="3">
        <v>45810</v>
      </c>
      <c r="B154" s="2">
        <v>104868.5</v>
      </c>
      <c r="C154" s="2" t="s">
        <v>326</v>
      </c>
      <c r="D154" s="2">
        <v>47.5</v>
      </c>
      <c r="E154" s="2">
        <v>190</v>
      </c>
      <c r="F154" s="2">
        <v>1</v>
      </c>
      <c r="G154" s="2">
        <v>46.5</v>
      </c>
      <c r="H154" s="2" t="s">
        <v>327</v>
      </c>
      <c r="I154" s="2">
        <v>40</v>
      </c>
      <c r="J154" s="2">
        <v>160</v>
      </c>
      <c r="K154" s="2">
        <v>1</v>
      </c>
      <c r="L154" s="2">
        <v>39</v>
      </c>
      <c r="M154" s="2">
        <v>85.5</v>
      </c>
      <c r="N154" s="2" t="s">
        <v>17</v>
      </c>
      <c r="O154" s="2" t="s">
        <v>17</v>
      </c>
      <c r="P154">
        <f t="shared" si="12"/>
        <v>0.97894736842105268</v>
      </c>
      <c r="Q154">
        <f t="shared" si="13"/>
        <v>0.97499999999999998</v>
      </c>
      <c r="R154">
        <f t="shared" si="14"/>
        <v>1</v>
      </c>
      <c r="S154">
        <f t="shared" si="15"/>
        <v>1</v>
      </c>
      <c r="T154">
        <f t="shared" si="16"/>
        <v>2</v>
      </c>
      <c r="U154">
        <f t="shared" si="17"/>
        <v>96.340350219129405</v>
      </c>
    </row>
    <row r="155" spans="1:21" x14ac:dyDescent="0.2">
      <c r="A155" s="3">
        <v>45811</v>
      </c>
      <c r="B155" s="2">
        <v>104357.4</v>
      </c>
      <c r="C155" s="2" t="s">
        <v>328</v>
      </c>
      <c r="D155" s="2">
        <v>50.3</v>
      </c>
      <c r="E155" s="2">
        <v>201.2</v>
      </c>
      <c r="F155" s="2">
        <v>201.2</v>
      </c>
      <c r="G155" s="2">
        <v>-150.9</v>
      </c>
      <c r="H155" s="2" t="s">
        <v>329</v>
      </c>
      <c r="I155" s="2">
        <v>145</v>
      </c>
      <c r="J155" s="2">
        <v>580</v>
      </c>
      <c r="K155" s="2">
        <v>1</v>
      </c>
      <c r="L155" s="2">
        <v>144</v>
      </c>
      <c r="M155" s="2">
        <v>-6.9</v>
      </c>
      <c r="N155" s="2" t="s">
        <v>20</v>
      </c>
      <c r="O155" s="2" t="s">
        <v>17</v>
      </c>
      <c r="P155">
        <f t="shared" si="12"/>
        <v>-3.0000000000000004</v>
      </c>
      <c r="Q155">
        <f t="shared" si="13"/>
        <v>0.99310344827586206</v>
      </c>
      <c r="R155">
        <f t="shared" si="14"/>
        <v>-3.0000000000000004</v>
      </c>
      <c r="S155">
        <f t="shared" si="15"/>
        <v>1</v>
      </c>
      <c r="T155">
        <f t="shared" si="16"/>
        <v>-2.0000000000000004</v>
      </c>
      <c r="U155">
        <f t="shared" si="17"/>
        <v>94.340350219129405</v>
      </c>
    </row>
    <row r="156" spans="1:21" x14ac:dyDescent="0.2">
      <c r="A156" s="3">
        <v>45812</v>
      </c>
      <c r="B156" s="2">
        <v>106074.3</v>
      </c>
      <c r="C156" s="2" t="s">
        <v>330</v>
      </c>
      <c r="D156" s="2">
        <v>46.5</v>
      </c>
      <c r="E156" s="2">
        <v>186</v>
      </c>
      <c r="F156" s="2">
        <v>1</v>
      </c>
      <c r="G156" s="2">
        <v>45.5</v>
      </c>
      <c r="H156" s="2" t="s">
        <v>331</v>
      </c>
      <c r="I156" s="2">
        <v>37</v>
      </c>
      <c r="J156" s="2">
        <v>148</v>
      </c>
      <c r="K156" s="2">
        <v>1</v>
      </c>
      <c r="L156" s="2">
        <v>36</v>
      </c>
      <c r="M156" s="2">
        <v>81.5</v>
      </c>
      <c r="N156" s="2" t="s">
        <v>17</v>
      </c>
      <c r="O156" s="2" t="s">
        <v>17</v>
      </c>
      <c r="P156">
        <f t="shared" si="12"/>
        <v>0.978494623655914</v>
      </c>
      <c r="Q156">
        <f t="shared" si="13"/>
        <v>0.97297297297297303</v>
      </c>
      <c r="R156">
        <f t="shared" si="14"/>
        <v>1</v>
      </c>
      <c r="S156">
        <f t="shared" si="15"/>
        <v>1</v>
      </c>
      <c r="T156">
        <f t="shared" si="16"/>
        <v>2</v>
      </c>
      <c r="U156">
        <f t="shared" si="17"/>
        <v>96.340350219129405</v>
      </c>
    </row>
    <row r="157" spans="1:21" x14ac:dyDescent="0.2">
      <c r="A157" s="3">
        <v>45813</v>
      </c>
      <c r="B157" s="2">
        <v>104988.9</v>
      </c>
      <c r="C157" s="2" t="s">
        <v>332</v>
      </c>
      <c r="D157" s="2">
        <v>146</v>
      </c>
      <c r="E157" s="2">
        <v>584</v>
      </c>
      <c r="F157" s="2">
        <v>1</v>
      </c>
      <c r="G157" s="2">
        <v>145</v>
      </c>
      <c r="H157" s="2" t="s">
        <v>333</v>
      </c>
      <c r="I157" s="2">
        <v>48.5</v>
      </c>
      <c r="J157" s="2">
        <v>194</v>
      </c>
      <c r="K157" s="2">
        <v>1</v>
      </c>
      <c r="L157" s="2">
        <v>47.5</v>
      </c>
      <c r="M157" s="2">
        <v>192.5</v>
      </c>
      <c r="N157" s="2" t="s">
        <v>17</v>
      </c>
      <c r="O157" s="2" t="s">
        <v>17</v>
      </c>
      <c r="P157">
        <f t="shared" si="12"/>
        <v>0.99315068493150682</v>
      </c>
      <c r="Q157">
        <f t="shared" si="13"/>
        <v>0.97938144329896903</v>
      </c>
      <c r="R157">
        <f t="shared" si="14"/>
        <v>1</v>
      </c>
      <c r="S157">
        <f t="shared" si="15"/>
        <v>1</v>
      </c>
      <c r="T157">
        <f t="shared" si="16"/>
        <v>2</v>
      </c>
      <c r="U157">
        <f t="shared" si="17"/>
        <v>98.340350219129405</v>
      </c>
    </row>
    <row r="158" spans="1:21" x14ac:dyDescent="0.2">
      <c r="A158" s="3">
        <v>45814</v>
      </c>
      <c r="B158" s="2">
        <v>103005.8</v>
      </c>
      <c r="C158" s="2" t="s">
        <v>334</v>
      </c>
      <c r="D158" s="2">
        <v>80</v>
      </c>
      <c r="E158" s="2">
        <v>320</v>
      </c>
      <c r="F158" s="2">
        <v>1</v>
      </c>
      <c r="G158" s="2">
        <v>79</v>
      </c>
      <c r="H158" s="2" t="s">
        <v>335</v>
      </c>
      <c r="I158" s="2">
        <v>34</v>
      </c>
      <c r="J158" s="2">
        <v>136</v>
      </c>
      <c r="K158" s="2">
        <v>136</v>
      </c>
      <c r="L158" s="2">
        <v>-102</v>
      </c>
      <c r="M158" s="2">
        <v>-23</v>
      </c>
      <c r="N158" s="2" t="s">
        <v>17</v>
      </c>
      <c r="O158" s="2" t="s">
        <v>20</v>
      </c>
      <c r="P158">
        <f t="shared" si="12"/>
        <v>0.98750000000000004</v>
      </c>
      <c r="Q158">
        <f t="shared" si="13"/>
        <v>-3</v>
      </c>
      <c r="R158">
        <f t="shared" si="14"/>
        <v>1</v>
      </c>
      <c r="S158">
        <f t="shared" si="15"/>
        <v>-3</v>
      </c>
      <c r="T158">
        <f t="shared" si="16"/>
        <v>-2</v>
      </c>
      <c r="U158">
        <f t="shared" si="17"/>
        <v>96.340350219129405</v>
      </c>
    </row>
    <row r="159" spans="1:21" x14ac:dyDescent="0.2">
      <c r="A159" s="3">
        <v>45815</v>
      </c>
      <c r="B159" s="2">
        <v>104539.6</v>
      </c>
      <c r="C159" s="2" t="s">
        <v>336</v>
      </c>
      <c r="D159" s="2">
        <v>91.5</v>
      </c>
      <c r="E159" s="2">
        <v>366</v>
      </c>
      <c r="F159" s="2">
        <v>1</v>
      </c>
      <c r="G159" s="2">
        <v>90.5</v>
      </c>
      <c r="H159" s="2" t="s">
        <v>337</v>
      </c>
      <c r="I159" s="2">
        <v>34</v>
      </c>
      <c r="J159" s="2">
        <v>136</v>
      </c>
      <c r="K159" s="2">
        <v>1</v>
      </c>
      <c r="L159" s="2">
        <v>33</v>
      </c>
      <c r="M159" s="2">
        <v>123.5</v>
      </c>
      <c r="N159" s="2" t="s">
        <v>17</v>
      </c>
      <c r="O159" s="2" t="s">
        <v>17</v>
      </c>
      <c r="P159">
        <f t="shared" si="12"/>
        <v>0.98907103825136611</v>
      </c>
      <c r="Q159">
        <f t="shared" si="13"/>
        <v>0.97058823529411764</v>
      </c>
      <c r="R159">
        <f t="shared" si="14"/>
        <v>1</v>
      </c>
      <c r="S159">
        <f t="shared" si="15"/>
        <v>1</v>
      </c>
      <c r="T159">
        <f t="shared" si="16"/>
        <v>2</v>
      </c>
      <c r="U159">
        <f t="shared" si="17"/>
        <v>98.340350219129405</v>
      </c>
    </row>
    <row r="160" spans="1:21" x14ac:dyDescent="0.2">
      <c r="A160" s="3">
        <v>45816</v>
      </c>
      <c r="B160" s="2">
        <v>105645.1</v>
      </c>
      <c r="C160" s="2" t="s">
        <v>338</v>
      </c>
      <c r="D160" s="2">
        <v>36</v>
      </c>
      <c r="E160" s="2">
        <v>144</v>
      </c>
      <c r="F160" s="2">
        <v>1</v>
      </c>
      <c r="G160" s="2">
        <v>35</v>
      </c>
      <c r="H160" s="2" t="s">
        <v>339</v>
      </c>
      <c r="I160" s="2">
        <v>39.5</v>
      </c>
      <c r="J160" s="2">
        <v>158</v>
      </c>
      <c r="K160" s="2">
        <v>1</v>
      </c>
      <c r="L160" s="2">
        <v>38.5</v>
      </c>
      <c r="M160" s="2">
        <v>73.5</v>
      </c>
      <c r="N160" s="2" t="s">
        <v>17</v>
      </c>
      <c r="O160" s="2" t="s">
        <v>17</v>
      </c>
      <c r="P160">
        <f t="shared" si="12"/>
        <v>0.97222222222222221</v>
      </c>
      <c r="Q160">
        <f t="shared" si="13"/>
        <v>0.97468354430379744</v>
      </c>
      <c r="R160">
        <f t="shared" si="14"/>
        <v>1</v>
      </c>
      <c r="S160">
        <f t="shared" si="15"/>
        <v>1</v>
      </c>
      <c r="T160">
        <f t="shared" si="16"/>
        <v>2</v>
      </c>
      <c r="U160">
        <f t="shared" si="17"/>
        <v>100.34035021912941</v>
      </c>
    </row>
    <row r="161" spans="1:21" x14ac:dyDescent="0.2">
      <c r="A161" s="3">
        <v>45817</v>
      </c>
      <c r="B161" s="2">
        <v>106317.7</v>
      </c>
      <c r="C161" s="2" t="s">
        <v>340</v>
      </c>
      <c r="D161" s="2">
        <v>153.5</v>
      </c>
      <c r="E161" s="2">
        <v>614</v>
      </c>
      <c r="F161" s="2">
        <v>1</v>
      </c>
      <c r="G161" s="2">
        <v>152.5</v>
      </c>
      <c r="H161" s="2" t="s">
        <v>341</v>
      </c>
      <c r="I161" s="2">
        <v>39</v>
      </c>
      <c r="J161" s="2">
        <v>156</v>
      </c>
      <c r="K161" s="2">
        <v>1</v>
      </c>
      <c r="L161" s="2">
        <v>38</v>
      </c>
      <c r="M161" s="2">
        <v>190.5</v>
      </c>
      <c r="N161" s="2" t="s">
        <v>17</v>
      </c>
      <c r="O161" s="2" t="s">
        <v>17</v>
      </c>
      <c r="P161">
        <f t="shared" si="12"/>
        <v>0.99348534201954397</v>
      </c>
      <c r="Q161">
        <f t="shared" si="13"/>
        <v>0.97435897435897434</v>
      </c>
      <c r="R161">
        <f t="shared" si="14"/>
        <v>1</v>
      </c>
      <c r="S161">
        <f t="shared" si="15"/>
        <v>1</v>
      </c>
      <c r="T161">
        <f t="shared" si="16"/>
        <v>2</v>
      </c>
      <c r="U161">
        <f t="shared" si="17"/>
        <v>102.34035021912941</v>
      </c>
    </row>
    <row r="162" spans="1:21" x14ac:dyDescent="0.2">
      <c r="A162" s="3">
        <v>45818</v>
      </c>
      <c r="B162" s="2">
        <v>108441.9</v>
      </c>
      <c r="C162" s="2" t="s">
        <v>342</v>
      </c>
      <c r="D162" s="2">
        <v>84</v>
      </c>
      <c r="E162" s="2">
        <v>336</v>
      </c>
      <c r="F162" s="2">
        <v>336</v>
      </c>
      <c r="G162" s="2">
        <v>-252</v>
      </c>
      <c r="H162" s="2" t="s">
        <v>343</v>
      </c>
      <c r="I162" s="2">
        <v>50.5</v>
      </c>
      <c r="J162" s="2">
        <v>202</v>
      </c>
      <c r="K162" s="2">
        <v>1</v>
      </c>
      <c r="L162" s="2">
        <v>49.5</v>
      </c>
      <c r="M162" s="2">
        <v>-202.5</v>
      </c>
      <c r="N162" s="2" t="s">
        <v>20</v>
      </c>
      <c r="O162" s="2" t="s">
        <v>17</v>
      </c>
      <c r="P162">
        <f t="shared" si="12"/>
        <v>-3</v>
      </c>
      <c r="Q162">
        <f t="shared" si="13"/>
        <v>0.98019801980198018</v>
      </c>
      <c r="R162">
        <f t="shared" si="14"/>
        <v>-3</v>
      </c>
      <c r="S162">
        <f t="shared" si="15"/>
        <v>1</v>
      </c>
      <c r="T162">
        <f t="shared" si="16"/>
        <v>-2</v>
      </c>
      <c r="U162">
        <f t="shared" si="17"/>
        <v>100.34035021912941</v>
      </c>
    </row>
    <row r="163" spans="1:21" x14ac:dyDescent="0.2">
      <c r="A163" s="3">
        <v>45819</v>
      </c>
      <c r="B163" s="2">
        <v>109356.1</v>
      </c>
      <c r="C163" s="2" t="s">
        <v>344</v>
      </c>
      <c r="D163" s="2">
        <v>31</v>
      </c>
      <c r="E163" s="2">
        <v>124</v>
      </c>
      <c r="F163" s="2">
        <v>1</v>
      </c>
      <c r="G163" s="2">
        <v>30</v>
      </c>
      <c r="H163" s="2" t="s">
        <v>345</v>
      </c>
      <c r="I163" s="2">
        <v>87.5</v>
      </c>
      <c r="J163" s="2">
        <v>350</v>
      </c>
      <c r="K163" s="2">
        <v>1</v>
      </c>
      <c r="L163" s="2">
        <v>86.5</v>
      </c>
      <c r="M163" s="2">
        <v>116.5</v>
      </c>
      <c r="N163" s="2" t="s">
        <v>17</v>
      </c>
      <c r="O163" s="2" t="s">
        <v>17</v>
      </c>
      <c r="P163">
        <f t="shared" si="12"/>
        <v>0.967741935483871</v>
      </c>
      <c r="Q163">
        <f t="shared" si="13"/>
        <v>0.98857142857142855</v>
      </c>
      <c r="R163">
        <f t="shared" si="14"/>
        <v>1</v>
      </c>
      <c r="S163">
        <f t="shared" si="15"/>
        <v>1</v>
      </c>
      <c r="T163">
        <f t="shared" si="16"/>
        <v>2</v>
      </c>
      <c r="U163">
        <f t="shared" si="17"/>
        <v>102.34035021912941</v>
      </c>
    </row>
    <row r="164" spans="1:21" x14ac:dyDescent="0.2">
      <c r="A164" s="3">
        <v>45820</v>
      </c>
      <c r="B164" s="2">
        <v>108769.8</v>
      </c>
      <c r="C164" s="2" t="s">
        <v>346</v>
      </c>
      <c r="D164" s="2">
        <v>35</v>
      </c>
      <c r="E164" s="2">
        <v>140</v>
      </c>
      <c r="F164" s="2">
        <v>1</v>
      </c>
      <c r="G164" s="2">
        <v>34</v>
      </c>
      <c r="H164" s="2" t="s">
        <v>347</v>
      </c>
      <c r="I164" s="2">
        <v>70.5</v>
      </c>
      <c r="J164" s="2">
        <v>282</v>
      </c>
      <c r="K164" s="2">
        <v>1</v>
      </c>
      <c r="L164" s="2">
        <v>69.5</v>
      </c>
      <c r="M164" s="2">
        <v>103.5</v>
      </c>
      <c r="N164" s="2" t="s">
        <v>17</v>
      </c>
      <c r="O164" s="2" t="s">
        <v>17</v>
      </c>
      <c r="P164">
        <f t="shared" si="12"/>
        <v>0.97142857142857142</v>
      </c>
      <c r="Q164">
        <f t="shared" si="13"/>
        <v>0.98581560283687941</v>
      </c>
      <c r="R164">
        <f t="shared" si="14"/>
        <v>1</v>
      </c>
      <c r="S164">
        <f t="shared" si="15"/>
        <v>1</v>
      </c>
      <c r="T164">
        <f t="shared" si="16"/>
        <v>2</v>
      </c>
      <c r="U164">
        <f t="shared" si="17"/>
        <v>104.34035021912941</v>
      </c>
    </row>
    <row r="165" spans="1:21" x14ac:dyDescent="0.2">
      <c r="A165" s="3">
        <v>45821</v>
      </c>
      <c r="B165" s="2">
        <v>107537.3</v>
      </c>
      <c r="C165" s="2" t="s">
        <v>348</v>
      </c>
      <c r="D165" s="2">
        <v>107.5</v>
      </c>
      <c r="E165" s="2">
        <v>430</v>
      </c>
      <c r="F165" s="2">
        <v>1</v>
      </c>
      <c r="G165" s="2">
        <v>106.5</v>
      </c>
      <c r="H165" s="2" t="s">
        <v>349</v>
      </c>
      <c r="I165" s="2">
        <v>53.5</v>
      </c>
      <c r="J165" s="2">
        <v>214</v>
      </c>
      <c r="K165" s="2">
        <v>214</v>
      </c>
      <c r="L165" s="2">
        <v>-160.5</v>
      </c>
      <c r="M165" s="2">
        <v>-54</v>
      </c>
      <c r="N165" s="2" t="s">
        <v>17</v>
      </c>
      <c r="O165" s="2" t="s">
        <v>20</v>
      </c>
      <c r="P165">
        <f t="shared" si="12"/>
        <v>0.99069767441860468</v>
      </c>
      <c r="Q165">
        <f t="shared" si="13"/>
        <v>-3</v>
      </c>
      <c r="R165">
        <f t="shared" si="14"/>
        <v>1</v>
      </c>
      <c r="S165">
        <f t="shared" si="15"/>
        <v>-3</v>
      </c>
      <c r="T165">
        <f t="shared" si="16"/>
        <v>-2</v>
      </c>
      <c r="U165">
        <f t="shared" si="17"/>
        <v>102.34035021912941</v>
      </c>
    </row>
    <row r="166" spans="1:21" x14ac:dyDescent="0.2">
      <c r="A166" s="3">
        <v>45822</v>
      </c>
      <c r="B166" s="2">
        <v>105142</v>
      </c>
      <c r="C166" s="2" t="s">
        <v>350</v>
      </c>
      <c r="D166" s="2">
        <v>132.5</v>
      </c>
      <c r="E166" s="2">
        <v>530</v>
      </c>
      <c r="F166" s="2">
        <v>1</v>
      </c>
      <c r="G166" s="2">
        <v>131.5</v>
      </c>
      <c r="H166" s="2" t="s">
        <v>351</v>
      </c>
      <c r="I166" s="2">
        <v>41.5</v>
      </c>
      <c r="J166" s="2">
        <v>166</v>
      </c>
      <c r="K166" s="2">
        <v>1</v>
      </c>
      <c r="L166" s="2">
        <v>40.5</v>
      </c>
      <c r="M166" s="2">
        <v>172</v>
      </c>
      <c r="N166" s="2" t="s">
        <v>17</v>
      </c>
      <c r="O166" s="2" t="s">
        <v>17</v>
      </c>
      <c r="P166">
        <f t="shared" si="12"/>
        <v>0.99245283018867925</v>
      </c>
      <c r="Q166">
        <f t="shared" si="13"/>
        <v>0.97590361445783136</v>
      </c>
      <c r="R166">
        <f t="shared" si="14"/>
        <v>1</v>
      </c>
      <c r="S166">
        <f t="shared" si="15"/>
        <v>1</v>
      </c>
      <c r="T166">
        <f t="shared" si="16"/>
        <v>2</v>
      </c>
      <c r="U166">
        <f t="shared" si="17"/>
        <v>104.34035021912941</v>
      </c>
    </row>
    <row r="167" spans="1:21" x14ac:dyDescent="0.2">
      <c r="A167" s="3">
        <v>45823</v>
      </c>
      <c r="B167" s="2">
        <v>104918</v>
      </c>
      <c r="C167" s="2" t="s">
        <v>352</v>
      </c>
      <c r="D167" s="2">
        <v>49.5</v>
      </c>
      <c r="E167" s="2">
        <v>198</v>
      </c>
      <c r="F167" s="2">
        <v>198</v>
      </c>
      <c r="G167" s="2">
        <v>-148.5</v>
      </c>
      <c r="H167" s="2" t="s">
        <v>353</v>
      </c>
      <c r="I167" s="2">
        <v>45</v>
      </c>
      <c r="J167" s="2">
        <v>180</v>
      </c>
      <c r="K167" s="2">
        <v>1</v>
      </c>
      <c r="L167" s="2">
        <v>44</v>
      </c>
      <c r="M167" s="2">
        <v>-104.5</v>
      </c>
      <c r="N167" s="2" t="s">
        <v>20</v>
      </c>
      <c r="O167" s="2" t="s">
        <v>17</v>
      </c>
      <c r="P167">
        <f t="shared" si="12"/>
        <v>-3</v>
      </c>
      <c r="Q167">
        <f t="shared" si="13"/>
        <v>0.97777777777777775</v>
      </c>
      <c r="R167">
        <f t="shared" si="14"/>
        <v>-3</v>
      </c>
      <c r="S167">
        <f t="shared" si="15"/>
        <v>1</v>
      </c>
      <c r="T167">
        <f t="shared" si="16"/>
        <v>-2</v>
      </c>
      <c r="U167">
        <f t="shared" si="17"/>
        <v>102.34035021912941</v>
      </c>
    </row>
    <row r="168" spans="1:21" x14ac:dyDescent="0.2">
      <c r="A168" s="3">
        <v>45824</v>
      </c>
      <c r="B168" s="2">
        <v>105467.6</v>
      </c>
      <c r="C168" s="2" t="s">
        <v>354</v>
      </c>
      <c r="D168" s="2">
        <v>350</v>
      </c>
      <c r="E168" s="2">
        <v>1400</v>
      </c>
      <c r="F168" s="2">
        <v>869.54137930000002</v>
      </c>
      <c r="G168" s="2">
        <v>-519.54137930000002</v>
      </c>
      <c r="H168" s="2" t="s">
        <v>355</v>
      </c>
      <c r="I168" s="2">
        <v>256</v>
      </c>
      <c r="J168" s="2">
        <v>1024</v>
      </c>
      <c r="K168" s="2">
        <v>1</v>
      </c>
      <c r="L168" s="2">
        <v>255</v>
      </c>
      <c r="M168" s="2">
        <v>-264.54137930000002</v>
      </c>
      <c r="N168" s="2" t="s">
        <v>247</v>
      </c>
      <c r="O168" s="2" t="s">
        <v>17</v>
      </c>
      <c r="P168">
        <f t="shared" si="12"/>
        <v>-1.484403940857143</v>
      </c>
      <c r="Q168">
        <f t="shared" si="13"/>
        <v>0.99609375</v>
      </c>
      <c r="R168">
        <f t="shared" si="14"/>
        <v>-1.484403940857143</v>
      </c>
      <c r="S168">
        <f t="shared" si="15"/>
        <v>1</v>
      </c>
      <c r="T168">
        <f t="shared" si="16"/>
        <v>-0.484403940857143</v>
      </c>
      <c r="U168">
        <f t="shared" si="17"/>
        <v>101.85594627827226</v>
      </c>
    </row>
    <row r="169" spans="1:21" x14ac:dyDescent="0.2">
      <c r="A169" s="3">
        <v>45825</v>
      </c>
      <c r="B169" s="2">
        <v>108272.5</v>
      </c>
      <c r="C169" s="2" t="s">
        <v>356</v>
      </c>
      <c r="D169" s="2">
        <v>77</v>
      </c>
      <c r="E169" s="2">
        <v>308</v>
      </c>
      <c r="F169" s="2">
        <v>1</v>
      </c>
      <c r="G169" s="2">
        <v>76</v>
      </c>
      <c r="H169" s="2" t="s">
        <v>357</v>
      </c>
      <c r="I169" s="2">
        <v>40</v>
      </c>
      <c r="J169" s="2">
        <v>160</v>
      </c>
      <c r="K169" s="2">
        <v>160</v>
      </c>
      <c r="L169" s="2">
        <v>-120</v>
      </c>
      <c r="M169" s="2">
        <v>-44</v>
      </c>
      <c r="N169" s="2" t="s">
        <v>17</v>
      </c>
      <c r="O169" s="2" t="s">
        <v>20</v>
      </c>
      <c r="P169">
        <f t="shared" si="12"/>
        <v>0.98701298701298701</v>
      </c>
      <c r="Q169">
        <f t="shared" si="13"/>
        <v>-3</v>
      </c>
      <c r="R169">
        <f t="shared" si="14"/>
        <v>1</v>
      </c>
      <c r="S169">
        <f t="shared" si="15"/>
        <v>-3</v>
      </c>
      <c r="T169">
        <f t="shared" si="16"/>
        <v>-2</v>
      </c>
      <c r="U169">
        <f t="shared" si="17"/>
        <v>99.855946278272256</v>
      </c>
    </row>
    <row r="170" spans="1:21" x14ac:dyDescent="0.2">
      <c r="A170" s="3">
        <v>45826</v>
      </c>
      <c r="B170" s="2">
        <v>104459.5</v>
      </c>
      <c r="C170" s="2" t="s">
        <v>358</v>
      </c>
      <c r="D170" s="2">
        <v>47</v>
      </c>
      <c r="E170" s="2">
        <v>188</v>
      </c>
      <c r="F170" s="2">
        <v>1</v>
      </c>
      <c r="G170" s="2">
        <v>46</v>
      </c>
      <c r="H170" s="2" t="s">
        <v>359</v>
      </c>
      <c r="I170" s="2">
        <v>112</v>
      </c>
      <c r="J170" s="2">
        <v>448</v>
      </c>
      <c r="K170" s="2">
        <v>1</v>
      </c>
      <c r="L170" s="2">
        <v>111</v>
      </c>
      <c r="M170" s="2">
        <v>157</v>
      </c>
      <c r="N170" s="2" t="s">
        <v>17</v>
      </c>
      <c r="O170" s="2" t="s">
        <v>17</v>
      </c>
      <c r="P170">
        <f t="shared" si="12"/>
        <v>0.97872340425531912</v>
      </c>
      <c r="Q170">
        <f t="shared" si="13"/>
        <v>0.9910714285714286</v>
      </c>
      <c r="R170">
        <f t="shared" si="14"/>
        <v>1</v>
      </c>
      <c r="S170">
        <f t="shared" si="15"/>
        <v>1</v>
      </c>
      <c r="T170">
        <f t="shared" si="16"/>
        <v>2</v>
      </c>
      <c r="U170">
        <f t="shared" si="17"/>
        <v>101.85594627827226</v>
      </c>
    </row>
    <row r="171" spans="1:21" x14ac:dyDescent="0.2">
      <c r="A171" s="3">
        <v>45827</v>
      </c>
      <c r="B171" s="2">
        <v>103628</v>
      </c>
      <c r="C171" s="2" t="s">
        <v>360</v>
      </c>
      <c r="D171" s="2">
        <v>58</v>
      </c>
      <c r="E171" s="2">
        <v>232</v>
      </c>
      <c r="F171" s="2">
        <v>1</v>
      </c>
      <c r="G171" s="2">
        <v>57</v>
      </c>
      <c r="H171" s="2" t="s">
        <v>361</v>
      </c>
      <c r="I171" s="2">
        <v>59</v>
      </c>
      <c r="J171" s="2">
        <v>236</v>
      </c>
      <c r="K171" s="2">
        <v>1</v>
      </c>
      <c r="L171" s="2">
        <v>58</v>
      </c>
      <c r="M171" s="2">
        <v>115</v>
      </c>
      <c r="N171" s="2" t="s">
        <v>17</v>
      </c>
      <c r="O171" s="2" t="s">
        <v>17</v>
      </c>
      <c r="P171">
        <f t="shared" si="12"/>
        <v>0.98275862068965514</v>
      </c>
      <c r="Q171">
        <f t="shared" si="13"/>
        <v>0.98305084745762716</v>
      </c>
      <c r="R171">
        <f t="shared" si="14"/>
        <v>1</v>
      </c>
      <c r="S171">
        <f t="shared" si="15"/>
        <v>1</v>
      </c>
      <c r="T171">
        <f t="shared" si="16"/>
        <v>2</v>
      </c>
      <c r="U171">
        <f t="shared" si="17"/>
        <v>103.85594627827226</v>
      </c>
    </row>
    <row r="172" spans="1:21" x14ac:dyDescent="0.2">
      <c r="A172" s="3">
        <v>45828</v>
      </c>
      <c r="B172" s="2">
        <v>104383</v>
      </c>
      <c r="C172" s="2" t="s">
        <v>362</v>
      </c>
      <c r="D172" s="2">
        <v>137.5</v>
      </c>
      <c r="E172" s="2">
        <v>550</v>
      </c>
      <c r="F172" s="2">
        <v>550</v>
      </c>
      <c r="G172" s="2">
        <v>-412.5</v>
      </c>
      <c r="H172" s="2" t="s">
        <v>363</v>
      </c>
      <c r="I172" s="2">
        <v>199</v>
      </c>
      <c r="J172" s="2">
        <v>796</v>
      </c>
      <c r="K172" s="2">
        <v>1</v>
      </c>
      <c r="L172" s="2">
        <v>198</v>
      </c>
      <c r="M172" s="2">
        <v>-214.5</v>
      </c>
      <c r="N172" s="2" t="s">
        <v>20</v>
      </c>
      <c r="O172" s="2" t="s">
        <v>17</v>
      </c>
      <c r="P172">
        <f t="shared" si="12"/>
        <v>-3</v>
      </c>
      <c r="Q172">
        <f t="shared" si="13"/>
        <v>0.99497487437185927</v>
      </c>
      <c r="R172">
        <f t="shared" si="14"/>
        <v>-3</v>
      </c>
      <c r="S172">
        <f t="shared" si="15"/>
        <v>1</v>
      </c>
      <c r="T172">
        <f t="shared" si="16"/>
        <v>-2</v>
      </c>
      <c r="U172">
        <f t="shared" si="17"/>
        <v>101.85594627827226</v>
      </c>
    </row>
    <row r="173" spans="1:21" x14ac:dyDescent="0.2">
      <c r="A173" s="3">
        <v>45829</v>
      </c>
      <c r="B173" s="2">
        <v>103192.5</v>
      </c>
      <c r="C173" s="2" t="s">
        <v>364</v>
      </c>
      <c r="D173" s="2">
        <v>59</v>
      </c>
      <c r="E173" s="2">
        <v>236</v>
      </c>
      <c r="F173" s="2">
        <v>1</v>
      </c>
      <c r="G173" s="2">
        <v>58</v>
      </c>
      <c r="H173" s="2" t="s">
        <v>365</v>
      </c>
      <c r="I173" s="2">
        <v>187.5</v>
      </c>
      <c r="J173" s="2">
        <v>750</v>
      </c>
      <c r="K173" s="2">
        <v>1</v>
      </c>
      <c r="L173" s="2">
        <v>186.5</v>
      </c>
      <c r="M173" s="2">
        <v>244.5</v>
      </c>
      <c r="N173" s="2" t="s">
        <v>17</v>
      </c>
      <c r="O173" s="2" t="s">
        <v>17</v>
      </c>
      <c r="P173">
        <f t="shared" si="12"/>
        <v>0.98305084745762716</v>
      </c>
      <c r="Q173">
        <f t="shared" si="13"/>
        <v>0.9946666666666667</v>
      </c>
      <c r="R173">
        <f t="shared" si="14"/>
        <v>1</v>
      </c>
      <c r="S173">
        <f t="shared" si="15"/>
        <v>1</v>
      </c>
      <c r="T173">
        <f t="shared" si="16"/>
        <v>2</v>
      </c>
      <c r="U173">
        <f t="shared" si="17"/>
        <v>103.85594627827226</v>
      </c>
    </row>
    <row r="174" spans="1:21" x14ac:dyDescent="0.2">
      <c r="A174" s="3">
        <v>45830</v>
      </c>
      <c r="B174" s="2">
        <v>102612.3</v>
      </c>
      <c r="C174" s="2" t="s">
        <v>366</v>
      </c>
      <c r="D174" s="2">
        <v>48</v>
      </c>
      <c r="E174" s="2">
        <v>192</v>
      </c>
      <c r="F174" s="2">
        <v>192</v>
      </c>
      <c r="G174" s="2">
        <v>-144</v>
      </c>
      <c r="H174" s="2" t="s">
        <v>367</v>
      </c>
      <c r="I174" s="2">
        <v>46.5</v>
      </c>
      <c r="J174" s="2">
        <v>186</v>
      </c>
      <c r="K174" s="2">
        <v>186</v>
      </c>
      <c r="L174" s="2">
        <v>-139.5</v>
      </c>
      <c r="M174" s="2">
        <v>-283.5</v>
      </c>
      <c r="N174" s="2" t="s">
        <v>20</v>
      </c>
      <c r="O174" s="2" t="s">
        <v>20</v>
      </c>
      <c r="P174">
        <f t="shared" si="12"/>
        <v>-3</v>
      </c>
      <c r="Q174">
        <f t="shared" si="13"/>
        <v>-3</v>
      </c>
      <c r="R174">
        <f t="shared" si="14"/>
        <v>-3</v>
      </c>
      <c r="S174">
        <f t="shared" si="15"/>
        <v>-3</v>
      </c>
      <c r="T174">
        <f t="shared" si="16"/>
        <v>-6</v>
      </c>
      <c r="U174">
        <f t="shared" si="17"/>
        <v>97.855946278272256</v>
      </c>
    </row>
    <row r="175" spans="1:21" x14ac:dyDescent="0.2">
      <c r="A175" s="3">
        <v>45831</v>
      </c>
      <c r="B175" s="2">
        <v>99455</v>
      </c>
      <c r="C175" s="2" t="s">
        <v>368</v>
      </c>
      <c r="D175" s="2">
        <v>147</v>
      </c>
      <c r="E175" s="2">
        <v>588</v>
      </c>
      <c r="F175" s="2">
        <v>588</v>
      </c>
      <c r="G175" s="2">
        <v>-441</v>
      </c>
      <c r="H175" s="2" t="s">
        <v>369</v>
      </c>
      <c r="I175" s="2">
        <v>140</v>
      </c>
      <c r="J175" s="2">
        <v>560</v>
      </c>
      <c r="K175" s="2">
        <v>1</v>
      </c>
      <c r="L175" s="2">
        <v>139</v>
      </c>
      <c r="M175" s="2">
        <v>-302</v>
      </c>
      <c r="N175" s="2" t="s">
        <v>20</v>
      </c>
      <c r="O175" s="2" t="s">
        <v>17</v>
      </c>
      <c r="P175">
        <f t="shared" si="12"/>
        <v>-3</v>
      </c>
      <c r="Q175">
        <f t="shared" si="13"/>
        <v>0.99285714285714288</v>
      </c>
      <c r="R175">
        <f t="shared" si="14"/>
        <v>-3</v>
      </c>
      <c r="S175">
        <f t="shared" si="15"/>
        <v>1</v>
      </c>
      <c r="T175">
        <f t="shared" si="16"/>
        <v>-2</v>
      </c>
      <c r="U175">
        <f t="shared" si="17"/>
        <v>95.855946278272256</v>
      </c>
    </row>
    <row r="176" spans="1:21" x14ac:dyDescent="0.2">
      <c r="A176" s="3">
        <v>45832</v>
      </c>
      <c r="B176" s="2">
        <v>102992.6</v>
      </c>
      <c r="C176" s="2" t="s">
        <v>370</v>
      </c>
      <c r="D176" s="2">
        <v>30</v>
      </c>
      <c r="E176" s="2">
        <v>120</v>
      </c>
      <c r="F176" s="2">
        <v>120</v>
      </c>
      <c r="G176" s="2">
        <v>-90</v>
      </c>
      <c r="H176" s="2" t="s">
        <v>371</v>
      </c>
      <c r="I176" s="2">
        <v>30</v>
      </c>
      <c r="J176" s="2">
        <v>120</v>
      </c>
      <c r="K176" s="2">
        <v>1</v>
      </c>
      <c r="L176" s="2">
        <v>29</v>
      </c>
      <c r="M176" s="2">
        <v>-61</v>
      </c>
      <c r="N176" s="2" t="s">
        <v>20</v>
      </c>
      <c r="O176" s="2" t="s">
        <v>17</v>
      </c>
      <c r="P176">
        <f t="shared" si="12"/>
        <v>-3</v>
      </c>
      <c r="Q176">
        <f t="shared" si="13"/>
        <v>0.96666666666666667</v>
      </c>
      <c r="R176">
        <f t="shared" si="14"/>
        <v>-3</v>
      </c>
      <c r="S176">
        <f t="shared" si="15"/>
        <v>1</v>
      </c>
      <c r="T176">
        <f t="shared" si="16"/>
        <v>-2</v>
      </c>
      <c r="U176">
        <f t="shared" si="17"/>
        <v>93.855946278272256</v>
      </c>
    </row>
    <row r="177" spans="1:21" x14ac:dyDescent="0.2">
      <c r="A177" s="3">
        <v>45833</v>
      </c>
      <c r="B177" s="2">
        <v>105483.1</v>
      </c>
      <c r="C177" s="2" t="s">
        <v>372</v>
      </c>
      <c r="D177" s="2">
        <v>51</v>
      </c>
      <c r="E177" s="2">
        <v>204</v>
      </c>
      <c r="F177" s="2">
        <v>1</v>
      </c>
      <c r="G177" s="2">
        <v>50</v>
      </c>
      <c r="H177" s="2" t="s">
        <v>373</v>
      </c>
      <c r="I177" s="2">
        <v>297</v>
      </c>
      <c r="J177" s="2">
        <v>1188</v>
      </c>
      <c r="K177" s="2">
        <v>1</v>
      </c>
      <c r="L177" s="2">
        <v>296</v>
      </c>
      <c r="M177" s="2">
        <v>346</v>
      </c>
      <c r="N177" s="2" t="s">
        <v>17</v>
      </c>
      <c r="O177" s="2" t="s">
        <v>17</v>
      </c>
      <c r="P177">
        <f t="shared" si="12"/>
        <v>0.98039215686274506</v>
      </c>
      <c r="Q177">
        <f t="shared" si="13"/>
        <v>0.99663299663299665</v>
      </c>
      <c r="R177">
        <f t="shared" si="14"/>
        <v>1</v>
      </c>
      <c r="S177">
        <f t="shared" si="15"/>
        <v>1</v>
      </c>
      <c r="T177">
        <f t="shared" si="16"/>
        <v>2</v>
      </c>
      <c r="U177">
        <f t="shared" si="17"/>
        <v>95.855946278272256</v>
      </c>
    </row>
    <row r="178" spans="1:21" x14ac:dyDescent="0.2">
      <c r="A178" s="3">
        <v>45834</v>
      </c>
      <c r="B178" s="2">
        <v>107399.8</v>
      </c>
      <c r="C178" s="2" t="s">
        <v>374</v>
      </c>
      <c r="D178" s="2">
        <v>99</v>
      </c>
      <c r="E178" s="2">
        <v>396</v>
      </c>
      <c r="F178" s="2">
        <v>1</v>
      </c>
      <c r="G178" s="2">
        <v>98</v>
      </c>
      <c r="H178" s="2" t="s">
        <v>375</v>
      </c>
      <c r="I178" s="2">
        <v>54.4</v>
      </c>
      <c r="J178" s="2">
        <v>217.6</v>
      </c>
      <c r="K178" s="2">
        <v>1</v>
      </c>
      <c r="L178" s="2">
        <v>53.4</v>
      </c>
      <c r="M178" s="2">
        <v>151.4</v>
      </c>
      <c r="N178" s="2" t="s">
        <v>17</v>
      </c>
      <c r="O178" s="2" t="s">
        <v>17</v>
      </c>
      <c r="P178">
        <f t="shared" si="12"/>
        <v>0.98989898989898994</v>
      </c>
      <c r="Q178">
        <f t="shared" si="13"/>
        <v>0.98161764705882348</v>
      </c>
      <c r="R178">
        <f t="shared" si="14"/>
        <v>1</v>
      </c>
      <c r="S178">
        <f t="shared" si="15"/>
        <v>1</v>
      </c>
      <c r="T178">
        <f t="shared" si="16"/>
        <v>2</v>
      </c>
      <c r="U178">
        <f t="shared" si="17"/>
        <v>97.855946278272256</v>
      </c>
    </row>
    <row r="179" spans="1:21" x14ac:dyDescent="0.2">
      <c r="A179" s="3">
        <v>45835</v>
      </c>
      <c r="B179" s="2">
        <v>107398.8</v>
      </c>
      <c r="C179" s="2" t="s">
        <v>376</v>
      </c>
      <c r="D179" s="2">
        <v>166</v>
      </c>
      <c r="E179" s="2">
        <v>664</v>
      </c>
      <c r="F179" s="2">
        <v>1</v>
      </c>
      <c r="G179" s="2">
        <v>165</v>
      </c>
      <c r="H179" s="2" t="s">
        <v>377</v>
      </c>
      <c r="I179" s="2">
        <v>100</v>
      </c>
      <c r="J179" s="2">
        <v>400</v>
      </c>
      <c r="K179" s="2">
        <v>1</v>
      </c>
      <c r="L179" s="2">
        <v>99</v>
      </c>
      <c r="M179" s="2">
        <v>264</v>
      </c>
      <c r="N179" s="2" t="s">
        <v>17</v>
      </c>
      <c r="O179" s="2" t="s">
        <v>17</v>
      </c>
      <c r="P179">
        <f t="shared" si="12"/>
        <v>0.99397590361445787</v>
      </c>
      <c r="Q179">
        <f t="shared" si="13"/>
        <v>0.99</v>
      </c>
      <c r="R179">
        <f t="shared" si="14"/>
        <v>1</v>
      </c>
      <c r="S179">
        <f t="shared" si="15"/>
        <v>1</v>
      </c>
      <c r="T179">
        <f t="shared" si="16"/>
        <v>2</v>
      </c>
      <c r="U179">
        <f t="shared" si="17"/>
        <v>99.855946278272256</v>
      </c>
    </row>
    <row r="180" spans="1:21" x14ac:dyDescent="0.2">
      <c r="A180" s="3">
        <v>45836</v>
      </c>
      <c r="B180" s="2">
        <v>106703.1</v>
      </c>
      <c r="C180" s="2" t="s">
        <v>378</v>
      </c>
      <c r="D180" s="2">
        <v>243</v>
      </c>
      <c r="E180" s="2">
        <v>972</v>
      </c>
      <c r="F180" s="2">
        <v>327.26551719999998</v>
      </c>
      <c r="G180" s="2">
        <v>-84.265517239999994</v>
      </c>
      <c r="H180" s="2" t="s">
        <v>379</v>
      </c>
      <c r="I180" s="2">
        <v>46.5</v>
      </c>
      <c r="J180" s="2">
        <v>186</v>
      </c>
      <c r="K180" s="2">
        <v>1</v>
      </c>
      <c r="L180" s="2">
        <v>45.5</v>
      </c>
      <c r="M180" s="2">
        <v>-38.765517240000001</v>
      </c>
      <c r="N180" s="2" t="s">
        <v>247</v>
      </c>
      <c r="O180" s="2" t="s">
        <v>17</v>
      </c>
      <c r="P180">
        <f t="shared" si="12"/>
        <v>-0.34677167588477364</v>
      </c>
      <c r="Q180">
        <f t="shared" si="13"/>
        <v>0.978494623655914</v>
      </c>
      <c r="R180">
        <f t="shared" si="14"/>
        <v>-0.34677167588477364</v>
      </c>
      <c r="S180">
        <f t="shared" si="15"/>
        <v>1</v>
      </c>
      <c r="T180">
        <f t="shared" si="16"/>
        <v>0.65322832411522636</v>
      </c>
      <c r="U180">
        <f t="shared" si="17"/>
        <v>100.50917460238749</v>
      </c>
    </row>
    <row r="181" spans="1:21" x14ac:dyDescent="0.2">
      <c r="A181" s="3">
        <v>45837</v>
      </c>
      <c r="B181" s="2">
        <v>107323.9</v>
      </c>
      <c r="C181" s="2" t="s">
        <v>380</v>
      </c>
      <c r="D181" s="2">
        <v>39.5</v>
      </c>
      <c r="E181" s="2">
        <v>158</v>
      </c>
      <c r="F181" s="2">
        <v>1</v>
      </c>
      <c r="G181" s="2">
        <v>38.5</v>
      </c>
      <c r="H181" s="2" t="s">
        <v>381</v>
      </c>
      <c r="I181" s="2">
        <v>39.5</v>
      </c>
      <c r="J181" s="2">
        <v>158</v>
      </c>
      <c r="K181" s="2">
        <v>1</v>
      </c>
      <c r="L181" s="2">
        <v>38.5</v>
      </c>
      <c r="M181" s="2">
        <v>77</v>
      </c>
      <c r="N181" s="2" t="s">
        <v>17</v>
      </c>
      <c r="O181" s="2" t="s">
        <v>17</v>
      </c>
      <c r="P181">
        <f t="shared" si="12"/>
        <v>0.97468354430379744</v>
      </c>
      <c r="Q181">
        <f t="shared" si="13"/>
        <v>0.97468354430379744</v>
      </c>
      <c r="R181">
        <f t="shared" si="14"/>
        <v>1</v>
      </c>
      <c r="S181">
        <f t="shared" si="15"/>
        <v>1</v>
      </c>
      <c r="T181">
        <f t="shared" si="16"/>
        <v>2</v>
      </c>
      <c r="U181">
        <f t="shared" si="17"/>
        <v>102.50917460238749</v>
      </c>
    </row>
    <row r="182" spans="1:21" x14ac:dyDescent="0.2">
      <c r="A182" s="3">
        <v>45838</v>
      </c>
      <c r="B182" s="2">
        <v>107633.1</v>
      </c>
      <c r="C182" s="2" t="s">
        <v>382</v>
      </c>
      <c r="D182" s="2">
        <v>138.5</v>
      </c>
      <c r="E182" s="2">
        <v>554</v>
      </c>
      <c r="F182" s="2">
        <v>1</v>
      </c>
      <c r="G182" s="2">
        <v>137.5</v>
      </c>
      <c r="H182" s="2" t="s">
        <v>383</v>
      </c>
      <c r="I182" s="2">
        <v>441</v>
      </c>
      <c r="J182" s="2">
        <v>1764</v>
      </c>
      <c r="K182" s="2">
        <v>1</v>
      </c>
      <c r="L182" s="2">
        <v>440</v>
      </c>
      <c r="M182" s="2">
        <v>577.5</v>
      </c>
      <c r="N182" s="2" t="s">
        <v>17</v>
      </c>
      <c r="O182" s="2" t="s">
        <v>17</v>
      </c>
      <c r="P182">
        <f t="shared" si="12"/>
        <v>0.99277978339350181</v>
      </c>
      <c r="Q182">
        <f t="shared" si="13"/>
        <v>0.99773242630385484</v>
      </c>
      <c r="R182">
        <f t="shared" si="14"/>
        <v>1</v>
      </c>
      <c r="S182">
        <f t="shared" si="15"/>
        <v>1</v>
      </c>
      <c r="T182">
        <f t="shared" si="16"/>
        <v>2</v>
      </c>
      <c r="U182">
        <f t="shared" si="17"/>
        <v>104.50917460238749</v>
      </c>
    </row>
    <row r="183" spans="1:21" x14ac:dyDescent="0.2">
      <c r="A183" s="3">
        <v>45839</v>
      </c>
      <c r="B183" s="2">
        <v>107239.9</v>
      </c>
      <c r="C183" s="2" t="s">
        <v>384</v>
      </c>
      <c r="D183" s="2">
        <v>93</v>
      </c>
      <c r="E183" s="2">
        <v>372</v>
      </c>
      <c r="F183" s="2">
        <v>1</v>
      </c>
      <c r="G183" s="2">
        <v>92</v>
      </c>
      <c r="H183" s="2" t="s">
        <v>385</v>
      </c>
      <c r="I183" s="2">
        <v>185</v>
      </c>
      <c r="J183" s="2">
        <v>740</v>
      </c>
      <c r="K183" s="2">
        <v>29.444827589999999</v>
      </c>
      <c r="L183" s="2">
        <v>155.5551724</v>
      </c>
      <c r="M183" s="2">
        <v>247.5551724</v>
      </c>
      <c r="N183" s="2" t="s">
        <v>17</v>
      </c>
      <c r="O183" s="2" t="s">
        <v>247</v>
      </c>
      <c r="P183">
        <f t="shared" si="12"/>
        <v>0.989247311827957</v>
      </c>
      <c r="Q183">
        <f t="shared" si="13"/>
        <v>0.84083876972972971</v>
      </c>
      <c r="R183">
        <f t="shared" si="14"/>
        <v>1</v>
      </c>
      <c r="S183">
        <f t="shared" si="15"/>
        <v>0.84083876972972971</v>
      </c>
      <c r="T183">
        <f t="shared" si="16"/>
        <v>1.8408387697297297</v>
      </c>
      <c r="U183">
        <f t="shared" si="17"/>
        <v>106.35001337211722</v>
      </c>
    </row>
    <row r="184" spans="1:21" x14ac:dyDescent="0.2">
      <c r="A184" s="3">
        <v>45840</v>
      </c>
      <c r="B184" s="2">
        <v>105703.3</v>
      </c>
      <c r="C184" s="2" t="s">
        <v>386</v>
      </c>
      <c r="D184" s="2">
        <v>40.5</v>
      </c>
      <c r="E184" s="2">
        <v>162</v>
      </c>
      <c r="F184" s="2">
        <v>162</v>
      </c>
      <c r="G184" s="2">
        <v>-121.5</v>
      </c>
      <c r="H184" s="2" t="s">
        <v>387</v>
      </c>
      <c r="I184" s="2">
        <v>78</v>
      </c>
      <c r="J184" s="2">
        <v>312</v>
      </c>
      <c r="K184" s="2">
        <v>1</v>
      </c>
      <c r="L184" s="2">
        <v>77</v>
      </c>
      <c r="M184" s="2">
        <v>-44.5</v>
      </c>
      <c r="N184" s="2" t="s">
        <v>20</v>
      </c>
      <c r="O184" s="2" t="s">
        <v>17</v>
      </c>
      <c r="P184">
        <f t="shared" si="12"/>
        <v>-3</v>
      </c>
      <c r="Q184">
        <f t="shared" si="13"/>
        <v>0.98717948717948723</v>
      </c>
      <c r="R184">
        <f t="shared" si="14"/>
        <v>-3</v>
      </c>
      <c r="S184">
        <f t="shared" si="15"/>
        <v>1</v>
      </c>
      <c r="T184">
        <f t="shared" si="16"/>
        <v>-2</v>
      </c>
      <c r="U184">
        <f t="shared" si="17"/>
        <v>104.35001337211722</v>
      </c>
    </row>
    <row r="185" spans="1:21" x14ac:dyDescent="0.2">
      <c r="A185" s="3">
        <v>45841</v>
      </c>
      <c r="B185" s="2">
        <v>109510.6</v>
      </c>
      <c r="C185" s="2" t="s">
        <v>388</v>
      </c>
      <c r="D185" s="2">
        <v>80</v>
      </c>
      <c r="E185" s="2">
        <v>320</v>
      </c>
      <c r="F185" s="2">
        <v>1</v>
      </c>
      <c r="G185" s="2">
        <v>79</v>
      </c>
      <c r="H185" s="2" t="s">
        <v>389</v>
      </c>
      <c r="I185" s="2">
        <v>41</v>
      </c>
      <c r="J185" s="2">
        <v>164</v>
      </c>
      <c r="K185" s="2">
        <v>1</v>
      </c>
      <c r="L185" s="2">
        <v>40</v>
      </c>
      <c r="M185" s="2">
        <v>119</v>
      </c>
      <c r="N185" s="2" t="s">
        <v>17</v>
      </c>
      <c r="O185" s="2" t="s">
        <v>17</v>
      </c>
      <c r="P185">
        <f t="shared" si="12"/>
        <v>0.98750000000000004</v>
      </c>
      <c r="Q185">
        <f t="shared" si="13"/>
        <v>0.97560975609756095</v>
      </c>
      <c r="R185">
        <f t="shared" si="14"/>
        <v>1</v>
      </c>
      <c r="S185">
        <f t="shared" si="15"/>
        <v>1</v>
      </c>
      <c r="T185">
        <f t="shared" si="16"/>
        <v>2</v>
      </c>
      <c r="U185">
        <f t="shared" si="17"/>
        <v>106.35001337211722</v>
      </c>
    </row>
    <row r="186" spans="1:21" x14ac:dyDescent="0.2">
      <c r="A186" s="3">
        <v>45842</v>
      </c>
      <c r="B186" s="2">
        <v>109665.1</v>
      </c>
      <c r="C186" s="2" t="s">
        <v>390</v>
      </c>
      <c r="D186" s="2">
        <v>43.5</v>
      </c>
      <c r="E186" s="2">
        <v>174</v>
      </c>
      <c r="F186" s="2">
        <v>1</v>
      </c>
      <c r="G186" s="2">
        <v>42.5</v>
      </c>
      <c r="H186" s="2" t="s">
        <v>391</v>
      </c>
      <c r="I186" s="2">
        <v>30</v>
      </c>
      <c r="J186" s="2">
        <v>120</v>
      </c>
      <c r="K186" s="2">
        <v>1</v>
      </c>
      <c r="L186" s="2">
        <v>29</v>
      </c>
      <c r="M186" s="2">
        <v>71.5</v>
      </c>
      <c r="N186" s="2" t="s">
        <v>17</v>
      </c>
      <c r="O186" s="2" t="s">
        <v>17</v>
      </c>
      <c r="P186">
        <f t="shared" si="12"/>
        <v>0.97701149425287359</v>
      </c>
      <c r="Q186">
        <f t="shared" si="13"/>
        <v>0.96666666666666667</v>
      </c>
      <c r="R186">
        <f t="shared" si="14"/>
        <v>1</v>
      </c>
      <c r="S186">
        <f t="shared" si="15"/>
        <v>1</v>
      </c>
      <c r="T186">
        <f t="shared" si="16"/>
        <v>2</v>
      </c>
      <c r="U186">
        <f t="shared" si="17"/>
        <v>108.35001337211722</v>
      </c>
    </row>
    <row r="187" spans="1:21" x14ac:dyDescent="0.2">
      <c r="A187" s="3">
        <v>45843</v>
      </c>
      <c r="B187" s="2">
        <v>107461.4</v>
      </c>
      <c r="C187" s="2" t="s">
        <v>392</v>
      </c>
      <c r="D187" s="2">
        <v>41.5</v>
      </c>
      <c r="E187" s="2">
        <v>166</v>
      </c>
      <c r="F187" s="2">
        <v>1</v>
      </c>
      <c r="G187" s="2">
        <v>40.5</v>
      </c>
      <c r="H187" s="2" t="s">
        <v>393</v>
      </c>
      <c r="I187" s="2">
        <v>40.5</v>
      </c>
      <c r="J187" s="2">
        <v>162</v>
      </c>
      <c r="K187" s="2">
        <v>1</v>
      </c>
      <c r="L187" s="2">
        <v>39.5</v>
      </c>
      <c r="M187" s="2">
        <v>80</v>
      </c>
      <c r="N187" s="2" t="s">
        <v>17</v>
      </c>
      <c r="O187" s="2" t="s">
        <v>17</v>
      </c>
      <c r="P187">
        <f t="shared" si="12"/>
        <v>0.97590361445783136</v>
      </c>
      <c r="Q187">
        <f t="shared" si="13"/>
        <v>0.97530864197530864</v>
      </c>
      <c r="R187">
        <f t="shared" si="14"/>
        <v>1</v>
      </c>
      <c r="S187">
        <f t="shared" si="15"/>
        <v>1</v>
      </c>
      <c r="T187">
        <f t="shared" si="16"/>
        <v>2</v>
      </c>
      <c r="U187">
        <f t="shared" si="17"/>
        <v>110.35001337211722</v>
      </c>
    </row>
    <row r="188" spans="1:21" x14ac:dyDescent="0.2">
      <c r="A188" s="3">
        <v>45844</v>
      </c>
      <c r="B188" s="2">
        <v>108005.8</v>
      </c>
      <c r="C188" s="2" t="s">
        <v>394</v>
      </c>
      <c r="D188" s="2">
        <v>45</v>
      </c>
      <c r="E188" s="2">
        <v>180</v>
      </c>
      <c r="F188" s="2">
        <v>1</v>
      </c>
      <c r="G188" s="2">
        <v>44</v>
      </c>
      <c r="H188" s="2" t="s">
        <v>395</v>
      </c>
      <c r="I188" s="2">
        <v>45</v>
      </c>
      <c r="J188" s="2">
        <v>180</v>
      </c>
      <c r="K188" s="2">
        <v>1</v>
      </c>
      <c r="L188" s="2">
        <v>44</v>
      </c>
      <c r="M188" s="2">
        <v>88</v>
      </c>
      <c r="N188" s="2" t="s">
        <v>17</v>
      </c>
      <c r="O188" s="2" t="s">
        <v>17</v>
      </c>
      <c r="P188">
        <f t="shared" si="12"/>
        <v>0.97777777777777775</v>
      </c>
      <c r="Q188">
        <f t="shared" si="13"/>
        <v>0.97777777777777775</v>
      </c>
      <c r="R188">
        <f t="shared" si="14"/>
        <v>1</v>
      </c>
      <c r="S188">
        <f t="shared" si="15"/>
        <v>1</v>
      </c>
      <c r="T188">
        <f t="shared" si="16"/>
        <v>2</v>
      </c>
      <c r="U188">
        <f t="shared" si="17"/>
        <v>112.35001337211722</v>
      </c>
    </row>
    <row r="189" spans="1:21" x14ac:dyDescent="0.2">
      <c r="A189" s="3">
        <v>45845</v>
      </c>
      <c r="B189" s="2">
        <v>108510.1</v>
      </c>
      <c r="C189" s="2" t="s">
        <v>396</v>
      </c>
      <c r="D189" s="2">
        <v>81</v>
      </c>
      <c r="E189" s="2">
        <v>324</v>
      </c>
      <c r="F189" s="2">
        <v>324</v>
      </c>
      <c r="G189" s="2">
        <v>-243</v>
      </c>
      <c r="H189" s="2" t="s">
        <v>397</v>
      </c>
      <c r="I189" s="2">
        <v>66</v>
      </c>
      <c r="J189" s="2">
        <v>264</v>
      </c>
      <c r="K189" s="2">
        <v>1</v>
      </c>
      <c r="L189" s="2">
        <v>65</v>
      </c>
      <c r="M189" s="2">
        <v>-178</v>
      </c>
      <c r="N189" s="2" t="s">
        <v>20</v>
      </c>
      <c r="O189" s="2" t="s">
        <v>17</v>
      </c>
      <c r="P189">
        <f t="shared" si="12"/>
        <v>-3</v>
      </c>
      <c r="Q189">
        <f t="shared" si="13"/>
        <v>0.98484848484848486</v>
      </c>
      <c r="R189">
        <f t="shared" si="14"/>
        <v>-3</v>
      </c>
      <c r="S189">
        <f t="shared" si="15"/>
        <v>1</v>
      </c>
      <c r="T189">
        <f t="shared" si="16"/>
        <v>-2</v>
      </c>
      <c r="U189">
        <f t="shared" si="17"/>
        <v>110.35001337211722</v>
      </c>
    </row>
    <row r="190" spans="1:21" x14ac:dyDescent="0.2">
      <c r="A190" s="3">
        <v>45846</v>
      </c>
      <c r="B190" s="2">
        <v>108042.4</v>
      </c>
      <c r="C190" s="2" t="s">
        <v>398</v>
      </c>
      <c r="D190" s="2">
        <v>138.4</v>
      </c>
      <c r="E190" s="2">
        <v>553.6</v>
      </c>
      <c r="F190" s="2">
        <v>1</v>
      </c>
      <c r="G190" s="2">
        <v>137.4</v>
      </c>
      <c r="H190" s="2" t="s">
        <v>399</v>
      </c>
      <c r="I190" s="2">
        <v>31</v>
      </c>
      <c r="J190" s="2">
        <v>124</v>
      </c>
      <c r="K190" s="2">
        <v>1</v>
      </c>
      <c r="L190" s="2">
        <v>30</v>
      </c>
      <c r="M190" s="2">
        <v>167.4</v>
      </c>
      <c r="N190" s="2" t="s">
        <v>17</v>
      </c>
      <c r="O190" s="2" t="s">
        <v>17</v>
      </c>
      <c r="P190">
        <f t="shared" si="12"/>
        <v>0.99277456647398843</v>
      </c>
      <c r="Q190">
        <f t="shared" si="13"/>
        <v>0.967741935483871</v>
      </c>
      <c r="R190">
        <f t="shared" si="14"/>
        <v>1</v>
      </c>
      <c r="S190">
        <f t="shared" si="15"/>
        <v>1</v>
      </c>
      <c r="T190">
        <f t="shared" si="16"/>
        <v>2</v>
      </c>
      <c r="U190">
        <f t="shared" si="17"/>
        <v>112.35001337211722</v>
      </c>
    </row>
    <row r="191" spans="1:21" x14ac:dyDescent="0.2">
      <c r="A191" s="3">
        <v>45847</v>
      </c>
      <c r="B191" s="2">
        <v>109140.5</v>
      </c>
      <c r="C191" s="2" t="s">
        <v>400</v>
      </c>
      <c r="D191" s="2">
        <v>112</v>
      </c>
      <c r="E191" s="2">
        <v>448</v>
      </c>
      <c r="F191" s="2">
        <v>1</v>
      </c>
      <c r="G191" s="2">
        <v>111</v>
      </c>
      <c r="H191" s="2" t="s">
        <v>401</v>
      </c>
      <c r="I191" s="2">
        <v>51.5</v>
      </c>
      <c r="J191" s="2">
        <v>206</v>
      </c>
      <c r="K191" s="2">
        <v>1</v>
      </c>
      <c r="L191" s="2">
        <v>50.5</v>
      </c>
      <c r="M191" s="2">
        <v>161.5</v>
      </c>
      <c r="N191" s="2" t="s">
        <v>17</v>
      </c>
      <c r="O191" s="2" t="s">
        <v>17</v>
      </c>
      <c r="P191">
        <f t="shared" si="12"/>
        <v>0.9910714285714286</v>
      </c>
      <c r="Q191">
        <f t="shared" si="13"/>
        <v>0.98058252427184467</v>
      </c>
      <c r="R191">
        <f t="shared" si="14"/>
        <v>1</v>
      </c>
      <c r="S191">
        <f t="shared" si="15"/>
        <v>1</v>
      </c>
      <c r="T191">
        <f t="shared" si="16"/>
        <v>2</v>
      </c>
      <c r="U191">
        <f t="shared" si="17"/>
        <v>114.35001337211722</v>
      </c>
    </row>
    <row r="192" spans="1:21" x14ac:dyDescent="0.2">
      <c r="A192" s="3">
        <v>45848</v>
      </c>
      <c r="B192" s="2">
        <v>109543</v>
      </c>
      <c r="C192" s="2" t="s">
        <v>402</v>
      </c>
      <c r="D192" s="2">
        <v>87</v>
      </c>
      <c r="E192" s="2">
        <v>348</v>
      </c>
      <c r="F192" s="2">
        <v>348</v>
      </c>
      <c r="G192" s="2">
        <v>-261</v>
      </c>
      <c r="H192" s="2" t="s">
        <v>403</v>
      </c>
      <c r="I192" s="2">
        <v>38.5</v>
      </c>
      <c r="J192" s="2">
        <v>154</v>
      </c>
      <c r="K192" s="2">
        <v>1</v>
      </c>
      <c r="L192" s="2">
        <v>37.5</v>
      </c>
      <c r="M192" s="2">
        <v>-223.5</v>
      </c>
      <c r="N192" s="2" t="s">
        <v>20</v>
      </c>
      <c r="O192" s="2" t="s">
        <v>17</v>
      </c>
      <c r="P192">
        <f t="shared" si="12"/>
        <v>-3</v>
      </c>
      <c r="Q192">
        <f t="shared" si="13"/>
        <v>0.97402597402597402</v>
      </c>
      <c r="R192">
        <f t="shared" si="14"/>
        <v>-3</v>
      </c>
      <c r="S192">
        <f t="shared" si="15"/>
        <v>1</v>
      </c>
      <c r="T192">
        <f t="shared" si="16"/>
        <v>-2</v>
      </c>
      <c r="U192">
        <f t="shared" si="17"/>
        <v>112.35001337211722</v>
      </c>
    </row>
    <row r="193" spans="1:21" x14ac:dyDescent="0.2">
      <c r="A193" s="3">
        <v>45849</v>
      </c>
      <c r="B193" s="2">
        <v>113466.4</v>
      </c>
      <c r="C193" s="2" t="s">
        <v>404</v>
      </c>
      <c r="D193" s="2">
        <v>40.5</v>
      </c>
      <c r="E193" s="2">
        <v>162</v>
      </c>
      <c r="F193" s="2">
        <v>162</v>
      </c>
      <c r="G193" s="2">
        <v>-121.5</v>
      </c>
      <c r="H193" s="2" t="s">
        <v>405</v>
      </c>
      <c r="I193" s="2">
        <v>40</v>
      </c>
      <c r="J193" s="2">
        <v>160</v>
      </c>
      <c r="K193" s="2">
        <v>1</v>
      </c>
      <c r="L193" s="2">
        <v>39</v>
      </c>
      <c r="M193" s="2">
        <v>-82.5</v>
      </c>
      <c r="N193" s="2" t="s">
        <v>20</v>
      </c>
      <c r="O193" s="2" t="s">
        <v>17</v>
      </c>
      <c r="P193">
        <f t="shared" si="12"/>
        <v>-3</v>
      </c>
      <c r="Q193">
        <f t="shared" si="13"/>
        <v>0.97499999999999998</v>
      </c>
      <c r="R193">
        <f t="shared" si="14"/>
        <v>-3</v>
      </c>
      <c r="S193">
        <f t="shared" si="15"/>
        <v>1</v>
      </c>
      <c r="T193">
        <f t="shared" si="16"/>
        <v>-2</v>
      </c>
      <c r="U193">
        <f t="shared" si="17"/>
        <v>110.35001337211722</v>
      </c>
    </row>
    <row r="194" spans="1:21" x14ac:dyDescent="0.2">
      <c r="A194" s="3">
        <v>45850</v>
      </c>
      <c r="B194" s="2">
        <v>117666.1</v>
      </c>
      <c r="C194" s="2" t="s">
        <v>406</v>
      </c>
      <c r="D194" s="2">
        <v>48.5</v>
      </c>
      <c r="E194" s="2">
        <v>194</v>
      </c>
      <c r="F194" s="2">
        <v>1</v>
      </c>
      <c r="G194" s="2">
        <v>47.5</v>
      </c>
      <c r="H194" s="2" t="s">
        <v>407</v>
      </c>
      <c r="I194" s="2">
        <v>42</v>
      </c>
      <c r="J194" s="2">
        <v>168</v>
      </c>
      <c r="K194" s="2">
        <v>1</v>
      </c>
      <c r="L194" s="2">
        <v>41</v>
      </c>
      <c r="M194" s="2">
        <v>88.5</v>
      </c>
      <c r="N194" s="2" t="s">
        <v>17</v>
      </c>
      <c r="O194" s="2" t="s">
        <v>17</v>
      </c>
      <c r="P194">
        <f t="shared" si="12"/>
        <v>0.97938144329896903</v>
      </c>
      <c r="Q194">
        <f t="shared" si="13"/>
        <v>0.97619047619047616</v>
      </c>
      <c r="R194">
        <f t="shared" si="14"/>
        <v>1</v>
      </c>
      <c r="S194">
        <f t="shared" si="15"/>
        <v>1</v>
      </c>
      <c r="T194">
        <f t="shared" si="16"/>
        <v>2</v>
      </c>
      <c r="U194">
        <f t="shared" si="17"/>
        <v>112.35001337211722</v>
      </c>
    </row>
    <row r="195" spans="1:21" x14ac:dyDescent="0.2">
      <c r="A195" s="3">
        <v>45851</v>
      </c>
      <c r="B195" s="2">
        <v>117504</v>
      </c>
      <c r="C195" s="2" t="s">
        <v>408</v>
      </c>
      <c r="D195" s="2">
        <v>44.5</v>
      </c>
      <c r="E195" s="2">
        <v>178</v>
      </c>
      <c r="F195" s="2">
        <v>1</v>
      </c>
      <c r="G195" s="2">
        <v>43.5</v>
      </c>
      <c r="H195" s="2" t="s">
        <v>409</v>
      </c>
      <c r="I195" s="2">
        <v>43</v>
      </c>
      <c r="J195" s="2">
        <v>172</v>
      </c>
      <c r="K195" s="2">
        <v>1</v>
      </c>
      <c r="L195" s="2">
        <v>42</v>
      </c>
      <c r="M195" s="2">
        <v>85.5</v>
      </c>
      <c r="N195" s="2" t="s">
        <v>17</v>
      </c>
      <c r="O195" s="2" t="s">
        <v>17</v>
      </c>
      <c r="P195">
        <f t="shared" ref="P195:P258" si="18">G195/D195</f>
        <v>0.97752808988764039</v>
      </c>
      <c r="Q195">
        <f t="shared" ref="Q195:Q258" si="19">L195/I195</f>
        <v>0.97674418604651159</v>
      </c>
      <c r="R195">
        <f t="shared" ref="R195:R258" si="20">IF(P195&gt;0.9,1,P195)</f>
        <v>1</v>
      </c>
      <c r="S195">
        <f t="shared" ref="S195:S258" si="21">IF(Q195&gt;0.9,1,Q195)</f>
        <v>1</v>
      </c>
      <c r="T195">
        <f t="shared" ref="T195:T258" si="22">S195+R195</f>
        <v>2</v>
      </c>
      <c r="U195">
        <f t="shared" si="17"/>
        <v>114.35001337211722</v>
      </c>
    </row>
    <row r="196" spans="1:21" x14ac:dyDescent="0.2">
      <c r="A196" s="3">
        <v>45852</v>
      </c>
      <c r="B196" s="2">
        <v>119013.1</v>
      </c>
      <c r="C196" s="2" t="s">
        <v>410</v>
      </c>
      <c r="D196" s="2">
        <v>99.5</v>
      </c>
      <c r="E196" s="2">
        <v>398</v>
      </c>
      <c r="F196" s="2">
        <v>398</v>
      </c>
      <c r="G196" s="2">
        <v>-298.5</v>
      </c>
      <c r="H196" s="2" t="s">
        <v>411</v>
      </c>
      <c r="I196" s="2">
        <v>258</v>
      </c>
      <c r="J196" s="2">
        <v>1032</v>
      </c>
      <c r="K196" s="2">
        <v>1</v>
      </c>
      <c r="L196" s="2">
        <v>257</v>
      </c>
      <c r="M196" s="2">
        <v>-41.5</v>
      </c>
      <c r="N196" s="2" t="s">
        <v>20</v>
      </c>
      <c r="O196" s="2" t="s">
        <v>17</v>
      </c>
      <c r="P196">
        <f t="shared" si="18"/>
        <v>-3</v>
      </c>
      <c r="Q196">
        <f t="shared" si="19"/>
        <v>0.99612403100775193</v>
      </c>
      <c r="R196">
        <f t="shared" si="20"/>
        <v>-3</v>
      </c>
      <c r="S196">
        <f t="shared" si="21"/>
        <v>1</v>
      </c>
      <c r="T196">
        <f t="shared" si="22"/>
        <v>-2</v>
      </c>
      <c r="U196">
        <f t="shared" ref="U196:U259" si="23">U195+T196</f>
        <v>112.35001337211722</v>
      </c>
    </row>
    <row r="197" spans="1:21" x14ac:dyDescent="0.2">
      <c r="A197" s="3">
        <v>45853</v>
      </c>
      <c r="B197" s="2">
        <v>119752.2</v>
      </c>
      <c r="C197" s="2" t="s">
        <v>412</v>
      </c>
      <c r="D197" s="2">
        <v>52</v>
      </c>
      <c r="E197" s="2">
        <v>208</v>
      </c>
      <c r="F197" s="2">
        <v>1</v>
      </c>
      <c r="G197" s="2">
        <v>51</v>
      </c>
      <c r="H197" s="2" t="s">
        <v>413</v>
      </c>
      <c r="I197" s="2">
        <v>42</v>
      </c>
      <c r="J197" s="2">
        <v>168</v>
      </c>
      <c r="K197" s="2">
        <v>168</v>
      </c>
      <c r="L197" s="2">
        <v>-126</v>
      </c>
      <c r="M197" s="2">
        <v>-75</v>
      </c>
      <c r="N197" s="2" t="s">
        <v>17</v>
      </c>
      <c r="O197" s="2" t="s">
        <v>20</v>
      </c>
      <c r="P197">
        <f t="shared" si="18"/>
        <v>0.98076923076923073</v>
      </c>
      <c r="Q197">
        <f t="shared" si="19"/>
        <v>-3</v>
      </c>
      <c r="R197">
        <f t="shared" si="20"/>
        <v>1</v>
      </c>
      <c r="S197">
        <f t="shared" si="21"/>
        <v>-3</v>
      </c>
      <c r="T197">
        <f t="shared" si="22"/>
        <v>-2</v>
      </c>
      <c r="U197">
        <f t="shared" si="23"/>
        <v>110.35001337211722</v>
      </c>
    </row>
    <row r="198" spans="1:21" x14ac:dyDescent="0.2">
      <c r="A198" s="3">
        <v>45854</v>
      </c>
      <c r="B198" s="2">
        <v>116762</v>
      </c>
      <c r="C198" s="2" t="s">
        <v>414</v>
      </c>
      <c r="D198" s="2">
        <v>39</v>
      </c>
      <c r="E198" s="2">
        <v>156</v>
      </c>
      <c r="F198" s="2">
        <v>1</v>
      </c>
      <c r="G198" s="2">
        <v>38</v>
      </c>
      <c r="H198" s="2" t="s">
        <v>415</v>
      </c>
      <c r="I198" s="2">
        <v>47</v>
      </c>
      <c r="J198" s="2">
        <v>188</v>
      </c>
      <c r="K198" s="2">
        <v>1</v>
      </c>
      <c r="L198" s="2">
        <v>46</v>
      </c>
      <c r="M198" s="2">
        <v>84</v>
      </c>
      <c r="N198" s="2" t="s">
        <v>17</v>
      </c>
      <c r="O198" s="2" t="s">
        <v>17</v>
      </c>
      <c r="P198">
        <f t="shared" si="18"/>
        <v>0.97435897435897434</v>
      </c>
      <c r="Q198">
        <f t="shared" si="19"/>
        <v>0.97872340425531912</v>
      </c>
      <c r="R198">
        <f t="shared" si="20"/>
        <v>1</v>
      </c>
      <c r="S198">
        <f t="shared" si="21"/>
        <v>1</v>
      </c>
      <c r="T198">
        <f t="shared" si="22"/>
        <v>2</v>
      </c>
      <c r="U198">
        <f t="shared" si="23"/>
        <v>112.35001337211722</v>
      </c>
    </row>
    <row r="199" spans="1:21" x14ac:dyDescent="0.2">
      <c r="A199" s="3">
        <v>45855</v>
      </c>
      <c r="B199" s="2">
        <v>119609.3</v>
      </c>
      <c r="C199" s="2" t="s">
        <v>416</v>
      </c>
      <c r="D199" s="2">
        <v>54</v>
      </c>
      <c r="E199" s="2">
        <v>216</v>
      </c>
      <c r="F199" s="2">
        <v>1</v>
      </c>
      <c r="G199" s="2">
        <v>53</v>
      </c>
      <c r="H199" s="2" t="s">
        <v>417</v>
      </c>
      <c r="I199" s="2">
        <v>130.5</v>
      </c>
      <c r="J199" s="2">
        <v>522</v>
      </c>
      <c r="K199" s="2">
        <v>522</v>
      </c>
      <c r="L199" s="2">
        <v>-391.5</v>
      </c>
      <c r="M199" s="2">
        <v>-338.5</v>
      </c>
      <c r="N199" s="2" t="s">
        <v>17</v>
      </c>
      <c r="O199" s="2" t="s">
        <v>20</v>
      </c>
      <c r="P199">
        <f t="shared" si="18"/>
        <v>0.98148148148148151</v>
      </c>
      <c r="Q199">
        <f t="shared" si="19"/>
        <v>-3</v>
      </c>
      <c r="R199">
        <f t="shared" si="20"/>
        <v>1</v>
      </c>
      <c r="S199">
        <f t="shared" si="21"/>
        <v>-3</v>
      </c>
      <c r="T199">
        <f t="shared" si="22"/>
        <v>-2</v>
      </c>
      <c r="U199">
        <f t="shared" si="23"/>
        <v>110.35001337211722</v>
      </c>
    </row>
    <row r="200" spans="1:21" x14ac:dyDescent="0.2">
      <c r="A200" s="3">
        <v>45856</v>
      </c>
      <c r="B200" s="2">
        <v>119614.8</v>
      </c>
      <c r="C200" s="2" t="s">
        <v>418</v>
      </c>
      <c r="D200" s="2">
        <v>258</v>
      </c>
      <c r="E200" s="2">
        <v>1032</v>
      </c>
      <c r="F200" s="2">
        <v>1</v>
      </c>
      <c r="G200" s="2">
        <v>257</v>
      </c>
      <c r="H200" s="2" t="s">
        <v>419</v>
      </c>
      <c r="I200" s="2">
        <v>50.5</v>
      </c>
      <c r="J200" s="2">
        <v>202</v>
      </c>
      <c r="K200" s="2">
        <v>1</v>
      </c>
      <c r="L200" s="2">
        <v>49.5</v>
      </c>
      <c r="M200" s="2">
        <v>306.5</v>
      </c>
      <c r="N200" s="2" t="s">
        <v>17</v>
      </c>
      <c r="O200" s="2" t="s">
        <v>17</v>
      </c>
      <c r="P200">
        <f t="shared" si="18"/>
        <v>0.99612403100775193</v>
      </c>
      <c r="Q200">
        <f t="shared" si="19"/>
        <v>0.98019801980198018</v>
      </c>
      <c r="R200">
        <f t="shared" si="20"/>
        <v>1</v>
      </c>
      <c r="S200">
        <f t="shared" si="21"/>
        <v>1</v>
      </c>
      <c r="T200">
        <f t="shared" si="22"/>
        <v>2</v>
      </c>
      <c r="U200">
        <f t="shared" si="23"/>
        <v>112.35001337211722</v>
      </c>
    </row>
    <row r="201" spans="1:21" x14ac:dyDescent="0.2">
      <c r="A201" s="3">
        <v>45857</v>
      </c>
      <c r="B201" s="2">
        <v>117308.3</v>
      </c>
      <c r="C201" s="2" t="s">
        <v>420</v>
      </c>
      <c r="D201" s="2">
        <v>35</v>
      </c>
      <c r="E201" s="2">
        <v>140</v>
      </c>
      <c r="F201" s="2">
        <v>1</v>
      </c>
      <c r="G201" s="2">
        <v>34</v>
      </c>
      <c r="H201" s="2" t="s">
        <v>421</v>
      </c>
      <c r="I201" s="2">
        <v>37.5</v>
      </c>
      <c r="J201" s="2">
        <v>150</v>
      </c>
      <c r="K201" s="2">
        <v>1</v>
      </c>
      <c r="L201" s="2">
        <v>36.5</v>
      </c>
      <c r="M201" s="2">
        <v>70.5</v>
      </c>
      <c r="N201" s="2" t="s">
        <v>17</v>
      </c>
      <c r="O201" s="2" t="s">
        <v>17</v>
      </c>
      <c r="P201">
        <f t="shared" si="18"/>
        <v>0.97142857142857142</v>
      </c>
      <c r="Q201">
        <f t="shared" si="19"/>
        <v>0.97333333333333338</v>
      </c>
      <c r="R201">
        <f t="shared" si="20"/>
        <v>1</v>
      </c>
      <c r="S201">
        <f t="shared" si="21"/>
        <v>1</v>
      </c>
      <c r="T201">
        <f t="shared" si="22"/>
        <v>2</v>
      </c>
      <c r="U201">
        <f t="shared" si="23"/>
        <v>114.35001337211722</v>
      </c>
    </row>
    <row r="202" spans="1:21" x14ac:dyDescent="0.2">
      <c r="A202" s="3">
        <v>45858</v>
      </c>
      <c r="B202" s="2">
        <v>117859.1</v>
      </c>
      <c r="C202" s="2" t="s">
        <v>422</v>
      </c>
      <c r="D202" s="2">
        <v>49.5</v>
      </c>
      <c r="E202" s="2">
        <v>198</v>
      </c>
      <c r="F202" s="2">
        <v>1</v>
      </c>
      <c r="G202" s="2">
        <v>48.5</v>
      </c>
      <c r="H202" s="2" t="s">
        <v>423</v>
      </c>
      <c r="I202" s="2">
        <v>93.5</v>
      </c>
      <c r="J202" s="2">
        <v>374</v>
      </c>
      <c r="K202" s="2">
        <v>1</v>
      </c>
      <c r="L202" s="2">
        <v>92.5</v>
      </c>
      <c r="M202" s="2">
        <v>141</v>
      </c>
      <c r="N202" s="2" t="s">
        <v>17</v>
      </c>
      <c r="O202" s="2" t="s">
        <v>17</v>
      </c>
      <c r="P202">
        <f t="shared" si="18"/>
        <v>0.97979797979797978</v>
      </c>
      <c r="Q202">
        <f t="shared" si="19"/>
        <v>0.98930481283422456</v>
      </c>
      <c r="R202">
        <f t="shared" si="20"/>
        <v>1</v>
      </c>
      <c r="S202">
        <f t="shared" si="21"/>
        <v>1</v>
      </c>
      <c r="T202">
        <f t="shared" si="22"/>
        <v>2</v>
      </c>
      <c r="U202">
        <f t="shared" si="23"/>
        <v>116.35001337211722</v>
      </c>
    </row>
    <row r="203" spans="1:21" x14ac:dyDescent="0.2">
      <c r="A203" s="3">
        <v>45859</v>
      </c>
      <c r="B203" s="2">
        <v>118361.8</v>
      </c>
      <c r="C203" s="2" t="s">
        <v>424</v>
      </c>
      <c r="D203" s="2">
        <v>342</v>
      </c>
      <c r="E203" s="2">
        <v>1368</v>
      </c>
      <c r="F203" s="2">
        <v>1</v>
      </c>
      <c r="G203" s="2">
        <v>341</v>
      </c>
      <c r="H203" s="2" t="s">
        <v>425</v>
      </c>
      <c r="I203" s="2">
        <v>435</v>
      </c>
      <c r="J203" s="2">
        <v>1740</v>
      </c>
      <c r="K203" s="2">
        <v>1</v>
      </c>
      <c r="L203" s="2">
        <v>434</v>
      </c>
      <c r="M203" s="2">
        <v>775</v>
      </c>
      <c r="N203" s="2" t="s">
        <v>17</v>
      </c>
      <c r="O203" s="2" t="s">
        <v>17</v>
      </c>
      <c r="P203">
        <f t="shared" si="18"/>
        <v>0.99707602339181289</v>
      </c>
      <c r="Q203">
        <f t="shared" si="19"/>
        <v>0.99770114942528731</v>
      </c>
      <c r="R203">
        <f t="shared" si="20"/>
        <v>1</v>
      </c>
      <c r="S203">
        <f t="shared" si="21"/>
        <v>1</v>
      </c>
      <c r="T203">
        <f t="shared" si="22"/>
        <v>2</v>
      </c>
      <c r="U203">
        <f t="shared" si="23"/>
        <v>118.35001337211722</v>
      </c>
    </row>
    <row r="204" spans="1:21" x14ac:dyDescent="0.2">
      <c r="A204" s="3">
        <v>45860</v>
      </c>
      <c r="B204" s="2">
        <v>117118.9</v>
      </c>
      <c r="C204" s="2" t="s">
        <v>426</v>
      </c>
      <c r="D204" s="2">
        <v>60</v>
      </c>
      <c r="E204" s="2">
        <v>240</v>
      </c>
      <c r="F204" s="2">
        <v>1</v>
      </c>
      <c r="G204" s="2">
        <v>59</v>
      </c>
      <c r="H204" s="2" t="s">
        <v>427</v>
      </c>
      <c r="I204" s="2">
        <v>38.1</v>
      </c>
      <c r="J204" s="2">
        <v>152.4</v>
      </c>
      <c r="K204" s="2">
        <v>1</v>
      </c>
      <c r="L204" s="2">
        <v>37.1</v>
      </c>
      <c r="M204" s="2">
        <v>96.1</v>
      </c>
      <c r="N204" s="2" t="s">
        <v>17</v>
      </c>
      <c r="O204" s="2" t="s">
        <v>17</v>
      </c>
      <c r="P204">
        <f t="shared" si="18"/>
        <v>0.98333333333333328</v>
      </c>
      <c r="Q204">
        <f t="shared" si="19"/>
        <v>0.97375328083989499</v>
      </c>
      <c r="R204">
        <f t="shared" si="20"/>
        <v>1</v>
      </c>
      <c r="S204">
        <f t="shared" si="21"/>
        <v>1</v>
      </c>
      <c r="T204">
        <f t="shared" si="22"/>
        <v>2</v>
      </c>
      <c r="U204">
        <f t="shared" si="23"/>
        <v>120.35001337211722</v>
      </c>
    </row>
    <row r="205" spans="1:21" x14ac:dyDescent="0.2">
      <c r="A205" s="3">
        <v>45861</v>
      </c>
      <c r="B205" s="2">
        <v>119739.5</v>
      </c>
      <c r="C205" s="2" t="s">
        <v>428</v>
      </c>
      <c r="D205" s="2">
        <v>38</v>
      </c>
      <c r="E205" s="2">
        <v>152</v>
      </c>
      <c r="F205" s="2">
        <v>1</v>
      </c>
      <c r="G205" s="2">
        <v>37</v>
      </c>
      <c r="H205" s="2" t="s">
        <v>429</v>
      </c>
      <c r="I205" s="2">
        <v>79</v>
      </c>
      <c r="J205" s="2">
        <v>316</v>
      </c>
      <c r="K205" s="2">
        <v>1</v>
      </c>
      <c r="L205" s="2">
        <v>78</v>
      </c>
      <c r="M205" s="2">
        <v>115</v>
      </c>
      <c r="N205" s="2" t="s">
        <v>17</v>
      </c>
      <c r="O205" s="2" t="s">
        <v>17</v>
      </c>
      <c r="P205">
        <f t="shared" si="18"/>
        <v>0.97368421052631582</v>
      </c>
      <c r="Q205">
        <f t="shared" si="19"/>
        <v>0.98734177215189878</v>
      </c>
      <c r="R205">
        <f t="shared" si="20"/>
        <v>1</v>
      </c>
      <c r="S205">
        <f t="shared" si="21"/>
        <v>1</v>
      </c>
      <c r="T205">
        <f t="shared" si="22"/>
        <v>2</v>
      </c>
      <c r="U205">
        <f t="shared" si="23"/>
        <v>122.35001337211722</v>
      </c>
    </row>
    <row r="206" spans="1:21" x14ac:dyDescent="0.2">
      <c r="A206" s="3">
        <v>45862</v>
      </c>
      <c r="B206" s="2">
        <v>118411.6</v>
      </c>
      <c r="C206" s="2" t="s">
        <v>430</v>
      </c>
      <c r="D206" s="2">
        <v>95</v>
      </c>
      <c r="E206" s="2">
        <v>380</v>
      </c>
      <c r="F206" s="2">
        <v>1</v>
      </c>
      <c r="G206" s="2">
        <v>94</v>
      </c>
      <c r="H206" s="2" t="s">
        <v>431</v>
      </c>
      <c r="I206" s="2">
        <v>51</v>
      </c>
      <c r="J206" s="2">
        <v>204</v>
      </c>
      <c r="K206" s="2">
        <v>1</v>
      </c>
      <c r="L206" s="2">
        <v>50</v>
      </c>
      <c r="M206" s="2">
        <v>144</v>
      </c>
      <c r="N206" s="2" t="s">
        <v>17</v>
      </c>
      <c r="O206" s="2" t="s">
        <v>17</v>
      </c>
      <c r="P206">
        <f t="shared" si="18"/>
        <v>0.98947368421052628</v>
      </c>
      <c r="Q206">
        <f t="shared" si="19"/>
        <v>0.98039215686274506</v>
      </c>
      <c r="R206">
        <f t="shared" si="20"/>
        <v>1</v>
      </c>
      <c r="S206">
        <f t="shared" si="21"/>
        <v>1</v>
      </c>
      <c r="T206">
        <f t="shared" si="22"/>
        <v>2</v>
      </c>
      <c r="U206">
        <f t="shared" si="23"/>
        <v>124.35001337211722</v>
      </c>
    </row>
    <row r="207" spans="1:21" x14ac:dyDescent="0.2">
      <c r="A207" s="3">
        <v>45863</v>
      </c>
      <c r="B207" s="2">
        <v>119084.5</v>
      </c>
      <c r="C207" s="2" t="s">
        <v>432</v>
      </c>
      <c r="D207" s="2">
        <v>111.5</v>
      </c>
      <c r="E207" s="2">
        <v>446</v>
      </c>
      <c r="F207" s="2">
        <v>1</v>
      </c>
      <c r="G207" s="2">
        <v>110.5</v>
      </c>
      <c r="H207" s="2" t="s">
        <v>433</v>
      </c>
      <c r="I207" s="2">
        <v>465</v>
      </c>
      <c r="J207" s="2">
        <v>1860</v>
      </c>
      <c r="K207" s="2">
        <v>1860</v>
      </c>
      <c r="L207" s="2">
        <v>-1395</v>
      </c>
      <c r="M207" s="2">
        <v>-1284.5</v>
      </c>
      <c r="N207" s="2" t="s">
        <v>17</v>
      </c>
      <c r="O207" s="2" t="s">
        <v>20</v>
      </c>
      <c r="P207">
        <f t="shared" si="18"/>
        <v>0.99103139013452912</v>
      </c>
      <c r="Q207">
        <f t="shared" si="19"/>
        <v>-3</v>
      </c>
      <c r="R207">
        <f t="shared" si="20"/>
        <v>1</v>
      </c>
      <c r="S207">
        <f t="shared" si="21"/>
        <v>-3</v>
      </c>
      <c r="T207">
        <f t="shared" si="22"/>
        <v>-2</v>
      </c>
      <c r="U207">
        <f t="shared" si="23"/>
        <v>122.35001337211722</v>
      </c>
    </row>
    <row r="208" spans="1:21" x14ac:dyDescent="0.2">
      <c r="A208" s="3">
        <v>45864</v>
      </c>
      <c r="B208" s="2">
        <v>116430.2</v>
      </c>
      <c r="C208" s="2" t="s">
        <v>434</v>
      </c>
      <c r="D208" s="2">
        <v>73.5</v>
      </c>
      <c r="E208" s="2">
        <v>294</v>
      </c>
      <c r="F208" s="2">
        <v>294</v>
      </c>
      <c r="G208" s="2">
        <v>-220.5</v>
      </c>
      <c r="H208" s="2" t="s">
        <v>435</v>
      </c>
      <c r="I208" s="2">
        <v>35</v>
      </c>
      <c r="J208" s="2">
        <v>140</v>
      </c>
      <c r="K208" s="2">
        <v>1</v>
      </c>
      <c r="L208" s="2">
        <v>34</v>
      </c>
      <c r="M208" s="2">
        <v>-186.5</v>
      </c>
      <c r="N208" s="2" t="s">
        <v>20</v>
      </c>
      <c r="O208" s="2" t="s">
        <v>17</v>
      </c>
      <c r="P208">
        <f t="shared" si="18"/>
        <v>-3</v>
      </c>
      <c r="Q208">
        <f t="shared" si="19"/>
        <v>0.97142857142857142</v>
      </c>
      <c r="R208">
        <f t="shared" si="20"/>
        <v>-3</v>
      </c>
      <c r="S208">
        <f t="shared" si="21"/>
        <v>1</v>
      </c>
      <c r="T208">
        <f t="shared" si="22"/>
        <v>-2</v>
      </c>
      <c r="U208">
        <f t="shared" si="23"/>
        <v>120.35001337211722</v>
      </c>
    </row>
    <row r="209" spans="1:21" x14ac:dyDescent="0.2">
      <c r="A209" s="3">
        <v>45865</v>
      </c>
      <c r="B209" s="2">
        <v>118091.1</v>
      </c>
      <c r="C209" s="2" t="s">
        <v>436</v>
      </c>
      <c r="D209" s="2">
        <v>228</v>
      </c>
      <c r="E209" s="2">
        <v>912</v>
      </c>
      <c r="F209" s="2">
        <v>1</v>
      </c>
      <c r="G209" s="2">
        <v>227</v>
      </c>
      <c r="H209" s="2" t="s">
        <v>437</v>
      </c>
      <c r="I209" s="2">
        <v>96</v>
      </c>
      <c r="J209" s="2">
        <v>384</v>
      </c>
      <c r="K209" s="2">
        <v>1</v>
      </c>
      <c r="L209" s="2">
        <v>95</v>
      </c>
      <c r="M209" s="2">
        <v>322</v>
      </c>
      <c r="N209" s="2" t="s">
        <v>17</v>
      </c>
      <c r="O209" s="2" t="s">
        <v>17</v>
      </c>
      <c r="P209">
        <f t="shared" si="18"/>
        <v>0.99561403508771928</v>
      </c>
      <c r="Q209">
        <f t="shared" si="19"/>
        <v>0.98958333333333337</v>
      </c>
      <c r="R209">
        <f t="shared" si="20"/>
        <v>1</v>
      </c>
      <c r="S209">
        <f t="shared" si="21"/>
        <v>1</v>
      </c>
      <c r="T209">
        <f t="shared" si="22"/>
        <v>2</v>
      </c>
      <c r="U209">
        <f t="shared" si="23"/>
        <v>122.35001337211722</v>
      </c>
    </row>
    <row r="210" spans="1:21" x14ac:dyDescent="0.2">
      <c r="A210" s="3">
        <v>45866</v>
      </c>
      <c r="B210" s="2">
        <v>118992.4</v>
      </c>
      <c r="C210" s="2" t="s">
        <v>438</v>
      </c>
      <c r="D210" s="2">
        <v>119</v>
      </c>
      <c r="E210" s="2">
        <v>476</v>
      </c>
      <c r="F210" s="2">
        <v>1</v>
      </c>
      <c r="G210" s="2">
        <v>118</v>
      </c>
      <c r="H210" s="2" t="s">
        <v>439</v>
      </c>
      <c r="I210" s="2">
        <v>87</v>
      </c>
      <c r="J210" s="2">
        <v>348</v>
      </c>
      <c r="K210" s="2">
        <v>1</v>
      </c>
      <c r="L210" s="2">
        <v>86</v>
      </c>
      <c r="M210" s="2">
        <v>204</v>
      </c>
      <c r="N210" s="2" t="s">
        <v>17</v>
      </c>
      <c r="O210" s="2" t="s">
        <v>17</v>
      </c>
      <c r="P210">
        <f t="shared" si="18"/>
        <v>0.99159663865546221</v>
      </c>
      <c r="Q210">
        <f t="shared" si="19"/>
        <v>0.9885057471264368</v>
      </c>
      <c r="R210">
        <f t="shared" si="20"/>
        <v>1</v>
      </c>
      <c r="S210">
        <f t="shared" si="21"/>
        <v>1</v>
      </c>
      <c r="T210">
        <f t="shared" si="22"/>
        <v>2</v>
      </c>
      <c r="U210">
        <f t="shared" si="23"/>
        <v>124.35001337211722</v>
      </c>
    </row>
    <row r="211" spans="1:21" x14ac:dyDescent="0.2">
      <c r="A211" s="3">
        <v>45867</v>
      </c>
      <c r="B211" s="2">
        <v>117831</v>
      </c>
      <c r="C211" s="2" t="s">
        <v>440</v>
      </c>
      <c r="D211" s="2">
        <v>110</v>
      </c>
      <c r="E211" s="2">
        <v>440</v>
      </c>
      <c r="F211" s="2">
        <v>1</v>
      </c>
      <c r="G211" s="2">
        <v>109</v>
      </c>
      <c r="H211" s="2" t="s">
        <v>441</v>
      </c>
      <c r="I211" s="2">
        <v>30.5</v>
      </c>
      <c r="J211" s="2">
        <v>122</v>
      </c>
      <c r="K211" s="2">
        <v>1</v>
      </c>
      <c r="L211" s="2">
        <v>29.5</v>
      </c>
      <c r="M211" s="2">
        <v>138.5</v>
      </c>
      <c r="N211" s="2" t="s">
        <v>17</v>
      </c>
      <c r="O211" s="2" t="s">
        <v>17</v>
      </c>
      <c r="P211">
        <f t="shared" si="18"/>
        <v>0.99090909090909096</v>
      </c>
      <c r="Q211">
        <f t="shared" si="19"/>
        <v>0.96721311475409832</v>
      </c>
      <c r="R211">
        <f t="shared" si="20"/>
        <v>1</v>
      </c>
      <c r="S211">
        <f t="shared" si="21"/>
        <v>1</v>
      </c>
      <c r="T211">
        <f t="shared" si="22"/>
        <v>2</v>
      </c>
      <c r="U211">
        <f t="shared" si="23"/>
        <v>126.35001337211722</v>
      </c>
    </row>
    <row r="212" spans="1:21" x14ac:dyDescent="0.2">
      <c r="A212" s="3">
        <v>45868</v>
      </c>
      <c r="B212" s="2">
        <v>117575.3</v>
      </c>
      <c r="C212" s="2" t="s">
        <v>442</v>
      </c>
      <c r="D212" s="2">
        <v>55</v>
      </c>
      <c r="E212" s="2">
        <v>220</v>
      </c>
      <c r="F212" s="2">
        <v>1</v>
      </c>
      <c r="G212" s="2">
        <v>54</v>
      </c>
      <c r="H212" s="2" t="s">
        <v>443</v>
      </c>
      <c r="I212" s="2">
        <v>167.5</v>
      </c>
      <c r="J212" s="2">
        <v>670</v>
      </c>
      <c r="K212" s="2">
        <v>1</v>
      </c>
      <c r="L212" s="2">
        <v>166.5</v>
      </c>
      <c r="M212" s="2">
        <v>220.5</v>
      </c>
      <c r="N212" s="2" t="s">
        <v>17</v>
      </c>
      <c r="O212" s="2" t="s">
        <v>17</v>
      </c>
      <c r="P212">
        <f t="shared" si="18"/>
        <v>0.98181818181818181</v>
      </c>
      <c r="Q212">
        <f t="shared" si="19"/>
        <v>0.99402985074626871</v>
      </c>
      <c r="R212">
        <f t="shared" si="20"/>
        <v>1</v>
      </c>
      <c r="S212">
        <f t="shared" si="21"/>
        <v>1</v>
      </c>
      <c r="T212">
        <f t="shared" si="22"/>
        <v>2</v>
      </c>
      <c r="U212">
        <f t="shared" si="23"/>
        <v>128.35001337211722</v>
      </c>
    </row>
    <row r="213" spans="1:21" x14ac:dyDescent="0.2">
      <c r="A213" s="3">
        <v>45869</v>
      </c>
      <c r="B213" s="2">
        <v>116447.8</v>
      </c>
      <c r="C213" s="2" t="s">
        <v>444</v>
      </c>
      <c r="D213" s="2">
        <v>33</v>
      </c>
      <c r="E213" s="2">
        <v>132</v>
      </c>
      <c r="F213" s="2">
        <v>1</v>
      </c>
      <c r="G213" s="2">
        <v>32</v>
      </c>
      <c r="H213" s="2" t="s">
        <v>445</v>
      </c>
      <c r="I213" s="2">
        <v>151</v>
      </c>
      <c r="J213" s="2">
        <v>604</v>
      </c>
      <c r="K213" s="2">
        <v>1</v>
      </c>
      <c r="L213" s="2">
        <v>150</v>
      </c>
      <c r="M213" s="2">
        <v>182</v>
      </c>
      <c r="N213" s="2" t="s">
        <v>17</v>
      </c>
      <c r="O213" s="2" t="s">
        <v>17</v>
      </c>
      <c r="P213">
        <f t="shared" si="18"/>
        <v>0.96969696969696972</v>
      </c>
      <c r="Q213">
        <f t="shared" si="19"/>
        <v>0.99337748344370858</v>
      </c>
      <c r="R213">
        <f t="shared" si="20"/>
        <v>1</v>
      </c>
      <c r="S213">
        <f t="shared" si="21"/>
        <v>1</v>
      </c>
      <c r="T213">
        <f t="shared" si="22"/>
        <v>2</v>
      </c>
      <c r="U213">
        <f t="shared" si="23"/>
        <v>130.35001337211722</v>
      </c>
    </row>
    <row r="214" spans="1:21" x14ac:dyDescent="0.2">
      <c r="A214" s="3">
        <v>45870</v>
      </c>
      <c r="B214" s="2">
        <v>117766.1</v>
      </c>
      <c r="C214" s="2" t="s">
        <v>446</v>
      </c>
      <c r="D214" s="2">
        <v>61.5</v>
      </c>
      <c r="E214" s="2">
        <v>246</v>
      </c>
      <c r="F214" s="2">
        <v>1</v>
      </c>
      <c r="G214" s="2">
        <v>60.5</v>
      </c>
      <c r="H214" s="2" t="s">
        <v>447</v>
      </c>
      <c r="I214" s="2">
        <v>58.5</v>
      </c>
      <c r="J214" s="2">
        <v>234</v>
      </c>
      <c r="K214" s="2">
        <v>234</v>
      </c>
      <c r="L214" s="2">
        <v>-175.5</v>
      </c>
      <c r="M214" s="2">
        <v>-115</v>
      </c>
      <c r="N214" s="2" t="s">
        <v>17</v>
      </c>
      <c r="O214" s="2" t="s">
        <v>20</v>
      </c>
      <c r="P214">
        <f t="shared" si="18"/>
        <v>0.98373983739837401</v>
      </c>
      <c r="Q214">
        <f t="shared" si="19"/>
        <v>-3</v>
      </c>
      <c r="R214">
        <f t="shared" si="20"/>
        <v>1</v>
      </c>
      <c r="S214">
        <f t="shared" si="21"/>
        <v>-3</v>
      </c>
      <c r="T214">
        <f t="shared" si="22"/>
        <v>-2</v>
      </c>
      <c r="U214">
        <f t="shared" si="23"/>
        <v>128.35001337211722</v>
      </c>
    </row>
    <row r="215" spans="1:21" x14ac:dyDescent="0.2">
      <c r="A215" s="3">
        <v>45871</v>
      </c>
      <c r="B215" s="2">
        <v>113843.1</v>
      </c>
      <c r="C215" s="2" t="s">
        <v>448</v>
      </c>
      <c r="D215" s="2">
        <v>101.5</v>
      </c>
      <c r="E215" s="2">
        <v>406</v>
      </c>
      <c r="F215" s="2">
        <v>1</v>
      </c>
      <c r="G215" s="2">
        <v>100.5</v>
      </c>
      <c r="H215" s="2" t="s">
        <v>449</v>
      </c>
      <c r="I215" s="2">
        <v>138.5</v>
      </c>
      <c r="J215" s="2">
        <v>554</v>
      </c>
      <c r="K215" s="2">
        <v>1</v>
      </c>
      <c r="L215" s="2">
        <v>137.5</v>
      </c>
      <c r="M215" s="2">
        <v>238</v>
      </c>
      <c r="N215" s="2" t="s">
        <v>17</v>
      </c>
      <c r="O215" s="2" t="s">
        <v>17</v>
      </c>
      <c r="P215">
        <f t="shared" si="18"/>
        <v>0.99014778325123154</v>
      </c>
      <c r="Q215">
        <f t="shared" si="19"/>
        <v>0.99277978339350181</v>
      </c>
      <c r="R215">
        <f t="shared" si="20"/>
        <v>1</v>
      </c>
      <c r="S215">
        <f t="shared" si="21"/>
        <v>1</v>
      </c>
      <c r="T215">
        <f t="shared" si="22"/>
        <v>2</v>
      </c>
      <c r="U215">
        <f t="shared" si="23"/>
        <v>130.35001337211722</v>
      </c>
    </row>
    <row r="216" spans="1:21" x14ac:dyDescent="0.2">
      <c r="A216" s="3">
        <v>45872</v>
      </c>
      <c r="B216" s="2">
        <v>112324.5</v>
      </c>
      <c r="C216" s="2" t="s">
        <v>450</v>
      </c>
      <c r="D216" s="2">
        <v>110</v>
      </c>
      <c r="E216" s="2">
        <v>440</v>
      </c>
      <c r="F216" s="2">
        <v>440</v>
      </c>
      <c r="G216" s="2">
        <v>-330</v>
      </c>
      <c r="H216" s="2" t="s">
        <v>451</v>
      </c>
      <c r="I216" s="2">
        <v>119</v>
      </c>
      <c r="J216" s="2">
        <v>476</v>
      </c>
      <c r="K216" s="2">
        <v>1</v>
      </c>
      <c r="L216" s="2">
        <v>118</v>
      </c>
      <c r="M216" s="2">
        <v>-212</v>
      </c>
      <c r="N216" s="2" t="s">
        <v>20</v>
      </c>
      <c r="O216" s="2" t="s">
        <v>17</v>
      </c>
      <c r="P216">
        <f t="shared" si="18"/>
        <v>-3</v>
      </c>
      <c r="Q216">
        <f t="shared" si="19"/>
        <v>0.99159663865546221</v>
      </c>
      <c r="R216">
        <f t="shared" si="20"/>
        <v>-3</v>
      </c>
      <c r="S216">
        <f t="shared" si="21"/>
        <v>1</v>
      </c>
      <c r="T216">
        <f t="shared" si="22"/>
        <v>-2</v>
      </c>
      <c r="U216">
        <f t="shared" si="23"/>
        <v>128.35001337211722</v>
      </c>
    </row>
    <row r="217" spans="1:21" x14ac:dyDescent="0.2">
      <c r="A217" s="3">
        <v>45873</v>
      </c>
      <c r="B217" s="2">
        <v>114401.8</v>
      </c>
      <c r="C217" s="2" t="s">
        <v>452</v>
      </c>
      <c r="D217" s="2">
        <v>56</v>
      </c>
      <c r="E217" s="2">
        <v>224</v>
      </c>
      <c r="F217" s="2">
        <v>1</v>
      </c>
      <c r="G217" s="2">
        <v>55</v>
      </c>
      <c r="H217" s="2" t="s">
        <v>453</v>
      </c>
      <c r="I217" s="2">
        <v>53.5</v>
      </c>
      <c r="J217" s="2">
        <v>214</v>
      </c>
      <c r="K217" s="2">
        <v>1</v>
      </c>
      <c r="L217" s="2">
        <v>52.5</v>
      </c>
      <c r="M217" s="2">
        <v>107.5</v>
      </c>
      <c r="N217" s="2" t="s">
        <v>17</v>
      </c>
      <c r="O217" s="2" t="s">
        <v>17</v>
      </c>
      <c r="P217">
        <f t="shared" si="18"/>
        <v>0.9821428571428571</v>
      </c>
      <c r="Q217">
        <f t="shared" si="19"/>
        <v>0.98130841121495327</v>
      </c>
      <c r="R217">
        <f t="shared" si="20"/>
        <v>1</v>
      </c>
      <c r="S217">
        <f t="shared" si="21"/>
        <v>1</v>
      </c>
      <c r="T217">
        <f t="shared" si="22"/>
        <v>2</v>
      </c>
      <c r="U217">
        <f t="shared" si="23"/>
        <v>130.35001337211722</v>
      </c>
    </row>
    <row r="218" spans="1:21" x14ac:dyDescent="0.2">
      <c r="A218" s="3">
        <v>45874</v>
      </c>
      <c r="B218" s="2">
        <v>114989.9</v>
      </c>
      <c r="C218" s="2" t="s">
        <v>454</v>
      </c>
      <c r="D218" s="2">
        <v>42.5</v>
      </c>
      <c r="E218" s="2">
        <v>170</v>
      </c>
      <c r="F218" s="2">
        <v>1</v>
      </c>
      <c r="G218" s="2">
        <v>41.5</v>
      </c>
      <c r="H218" s="2" t="s">
        <v>455</v>
      </c>
      <c r="I218" s="2">
        <v>53</v>
      </c>
      <c r="J218" s="2">
        <v>212</v>
      </c>
      <c r="K218" s="2">
        <v>1</v>
      </c>
      <c r="L218" s="2">
        <v>52</v>
      </c>
      <c r="M218" s="2">
        <v>93.5</v>
      </c>
      <c r="N218" s="2" t="s">
        <v>17</v>
      </c>
      <c r="O218" s="2" t="s">
        <v>17</v>
      </c>
      <c r="P218">
        <f t="shared" si="18"/>
        <v>0.97647058823529409</v>
      </c>
      <c r="Q218">
        <f t="shared" si="19"/>
        <v>0.98113207547169812</v>
      </c>
      <c r="R218">
        <f t="shared" si="20"/>
        <v>1</v>
      </c>
      <c r="S218">
        <f t="shared" si="21"/>
        <v>1</v>
      </c>
      <c r="T218">
        <f t="shared" si="22"/>
        <v>2</v>
      </c>
      <c r="U218">
        <f t="shared" si="23"/>
        <v>132.35001337211722</v>
      </c>
    </row>
    <row r="219" spans="1:21" x14ac:dyDescent="0.2">
      <c r="A219" s="3">
        <v>45875</v>
      </c>
      <c r="B219" s="2">
        <v>113729.1</v>
      </c>
      <c r="C219" s="2" t="s">
        <v>456</v>
      </c>
      <c r="D219" s="2">
        <v>31.5</v>
      </c>
      <c r="E219" s="2">
        <v>126</v>
      </c>
      <c r="F219" s="2">
        <v>1</v>
      </c>
      <c r="G219" s="2">
        <v>30.5</v>
      </c>
      <c r="H219" s="2" t="s">
        <v>457</v>
      </c>
      <c r="I219" s="2">
        <v>80</v>
      </c>
      <c r="J219" s="2">
        <v>320</v>
      </c>
      <c r="K219" s="2">
        <v>1</v>
      </c>
      <c r="L219" s="2">
        <v>79</v>
      </c>
      <c r="M219" s="2">
        <v>109.5</v>
      </c>
      <c r="N219" s="2" t="s">
        <v>17</v>
      </c>
      <c r="O219" s="2" t="s">
        <v>17</v>
      </c>
      <c r="P219">
        <f t="shared" si="18"/>
        <v>0.96825396825396826</v>
      </c>
      <c r="Q219">
        <f t="shared" si="19"/>
        <v>0.98750000000000004</v>
      </c>
      <c r="R219">
        <f t="shared" si="20"/>
        <v>1</v>
      </c>
      <c r="S219">
        <f t="shared" si="21"/>
        <v>1</v>
      </c>
      <c r="T219">
        <f t="shared" si="22"/>
        <v>2</v>
      </c>
      <c r="U219">
        <f t="shared" si="23"/>
        <v>134.35001337211722</v>
      </c>
    </row>
    <row r="220" spans="1:21" x14ac:dyDescent="0.2">
      <c r="A220" s="3">
        <v>45876</v>
      </c>
      <c r="B220" s="2">
        <v>115422.2</v>
      </c>
      <c r="C220" s="2" t="s">
        <v>458</v>
      </c>
      <c r="D220" s="2">
        <v>225</v>
      </c>
      <c r="E220" s="2">
        <v>900</v>
      </c>
      <c r="F220" s="2">
        <v>635.71379309999998</v>
      </c>
      <c r="G220" s="2">
        <v>-410.71379309999998</v>
      </c>
      <c r="H220" s="2" t="s">
        <v>459</v>
      </c>
      <c r="I220" s="2">
        <v>207</v>
      </c>
      <c r="J220" s="2">
        <v>828</v>
      </c>
      <c r="K220" s="2">
        <v>1</v>
      </c>
      <c r="L220" s="2">
        <v>206</v>
      </c>
      <c r="M220" s="2">
        <v>-204.7137931</v>
      </c>
      <c r="N220" s="2" t="s">
        <v>247</v>
      </c>
      <c r="O220" s="2" t="s">
        <v>17</v>
      </c>
      <c r="P220">
        <f t="shared" si="18"/>
        <v>-1.825394636</v>
      </c>
      <c r="Q220">
        <f t="shared" si="19"/>
        <v>0.99516908212560384</v>
      </c>
      <c r="R220">
        <f t="shared" si="20"/>
        <v>-1.825394636</v>
      </c>
      <c r="S220">
        <f t="shared" si="21"/>
        <v>1</v>
      </c>
      <c r="T220">
        <f t="shared" si="22"/>
        <v>-0.82539463599999996</v>
      </c>
      <c r="U220">
        <f t="shared" si="23"/>
        <v>133.52461873611722</v>
      </c>
    </row>
    <row r="221" spans="1:21" x14ac:dyDescent="0.2">
      <c r="A221" s="3">
        <v>45877</v>
      </c>
      <c r="B221" s="2">
        <v>116638.6</v>
      </c>
      <c r="C221" s="2" t="s">
        <v>460</v>
      </c>
      <c r="D221" s="2">
        <v>128.5</v>
      </c>
      <c r="E221" s="2">
        <v>514</v>
      </c>
      <c r="F221" s="2">
        <v>1</v>
      </c>
      <c r="G221" s="2">
        <v>127.5</v>
      </c>
      <c r="H221" s="2" t="s">
        <v>461</v>
      </c>
      <c r="I221" s="2">
        <v>34.5</v>
      </c>
      <c r="J221" s="2">
        <v>138</v>
      </c>
      <c r="K221" s="2">
        <v>1</v>
      </c>
      <c r="L221" s="2">
        <v>33.5</v>
      </c>
      <c r="M221" s="2">
        <v>161</v>
      </c>
      <c r="N221" s="2" t="s">
        <v>17</v>
      </c>
      <c r="O221" s="2" t="s">
        <v>17</v>
      </c>
      <c r="P221">
        <f t="shared" si="18"/>
        <v>0.99221789883268485</v>
      </c>
      <c r="Q221">
        <f t="shared" si="19"/>
        <v>0.97101449275362317</v>
      </c>
      <c r="R221">
        <f t="shared" si="20"/>
        <v>1</v>
      </c>
      <c r="S221">
        <f t="shared" si="21"/>
        <v>1</v>
      </c>
      <c r="T221">
        <f t="shared" si="22"/>
        <v>2</v>
      </c>
      <c r="U221">
        <f t="shared" si="23"/>
        <v>135.52461873611722</v>
      </c>
    </row>
    <row r="222" spans="1:21" x14ac:dyDescent="0.2">
      <c r="A222" s="3">
        <v>45878</v>
      </c>
      <c r="B222" s="2">
        <v>116544.1</v>
      </c>
      <c r="C222" s="2" t="s">
        <v>462</v>
      </c>
      <c r="D222" s="2">
        <v>51.5</v>
      </c>
      <c r="E222" s="2">
        <v>206</v>
      </c>
      <c r="F222" s="2">
        <v>1</v>
      </c>
      <c r="G222" s="2">
        <v>50.5</v>
      </c>
      <c r="H222" s="2" t="s">
        <v>463</v>
      </c>
      <c r="I222" s="2">
        <v>30</v>
      </c>
      <c r="J222" s="2">
        <v>120</v>
      </c>
      <c r="K222" s="2">
        <v>1</v>
      </c>
      <c r="L222" s="2">
        <v>29</v>
      </c>
      <c r="M222" s="2">
        <v>79.5</v>
      </c>
      <c r="N222" s="2" t="s">
        <v>17</v>
      </c>
      <c r="O222" s="2" t="s">
        <v>17</v>
      </c>
      <c r="P222">
        <f t="shared" si="18"/>
        <v>0.98058252427184467</v>
      </c>
      <c r="Q222">
        <f t="shared" si="19"/>
        <v>0.96666666666666667</v>
      </c>
      <c r="R222">
        <f t="shared" si="20"/>
        <v>1</v>
      </c>
      <c r="S222">
        <f t="shared" si="21"/>
        <v>1</v>
      </c>
      <c r="T222">
        <f t="shared" si="22"/>
        <v>2</v>
      </c>
      <c r="U222">
        <f t="shared" si="23"/>
        <v>137.52461873611722</v>
      </c>
    </row>
    <row r="223" spans="1:21" x14ac:dyDescent="0.2">
      <c r="A223" s="3">
        <v>45879</v>
      </c>
      <c r="B223" s="2">
        <v>116631.4</v>
      </c>
      <c r="C223" s="2" t="s">
        <v>464</v>
      </c>
      <c r="D223" s="2">
        <v>37</v>
      </c>
      <c r="E223" s="2">
        <v>148</v>
      </c>
      <c r="F223" s="2">
        <v>148</v>
      </c>
      <c r="G223" s="2">
        <v>-111</v>
      </c>
      <c r="H223" s="2" t="s">
        <v>465</v>
      </c>
      <c r="I223" s="2">
        <v>310</v>
      </c>
      <c r="J223" s="2">
        <v>1240</v>
      </c>
      <c r="K223" s="2">
        <v>1</v>
      </c>
      <c r="L223" s="2">
        <v>309</v>
      </c>
      <c r="M223" s="2">
        <v>198</v>
      </c>
      <c r="N223" s="2" t="s">
        <v>20</v>
      </c>
      <c r="O223" s="2" t="s">
        <v>17</v>
      </c>
      <c r="P223">
        <f t="shared" si="18"/>
        <v>-3</v>
      </c>
      <c r="Q223">
        <f t="shared" si="19"/>
        <v>0.99677419354838714</v>
      </c>
      <c r="R223">
        <f t="shared" si="20"/>
        <v>-3</v>
      </c>
      <c r="S223">
        <f t="shared" si="21"/>
        <v>1</v>
      </c>
      <c r="T223">
        <f t="shared" si="22"/>
        <v>-2</v>
      </c>
      <c r="U223">
        <f t="shared" si="23"/>
        <v>135.52461873611722</v>
      </c>
    </row>
    <row r="224" spans="1:21" x14ac:dyDescent="0.2">
      <c r="A224" s="3">
        <v>45880</v>
      </c>
      <c r="B224" s="2">
        <v>118537.7</v>
      </c>
      <c r="C224" s="2" t="s">
        <v>466</v>
      </c>
      <c r="D224" s="2">
        <v>83.5</v>
      </c>
      <c r="E224" s="2">
        <v>334</v>
      </c>
      <c r="F224" s="2">
        <v>334</v>
      </c>
      <c r="G224" s="2">
        <v>-250.5</v>
      </c>
      <c r="H224" s="2" t="s">
        <v>467</v>
      </c>
      <c r="I224" s="2">
        <v>30</v>
      </c>
      <c r="J224" s="2">
        <v>120</v>
      </c>
      <c r="K224" s="2">
        <v>1</v>
      </c>
      <c r="L224" s="2">
        <v>29</v>
      </c>
      <c r="M224" s="2">
        <v>-221.5</v>
      </c>
      <c r="N224" s="2" t="s">
        <v>20</v>
      </c>
      <c r="O224" s="2" t="s">
        <v>17</v>
      </c>
      <c r="P224">
        <f t="shared" si="18"/>
        <v>-3</v>
      </c>
      <c r="Q224">
        <f t="shared" si="19"/>
        <v>0.96666666666666667</v>
      </c>
      <c r="R224">
        <f t="shared" si="20"/>
        <v>-3</v>
      </c>
      <c r="S224">
        <f t="shared" si="21"/>
        <v>1</v>
      </c>
      <c r="T224">
        <f t="shared" si="22"/>
        <v>-2</v>
      </c>
      <c r="U224">
        <f t="shared" si="23"/>
        <v>133.52461873611722</v>
      </c>
    </row>
    <row r="225" spans="1:21" x14ac:dyDescent="0.2">
      <c r="A225" s="3">
        <v>45881</v>
      </c>
      <c r="B225" s="2">
        <v>119772.2</v>
      </c>
      <c r="C225" s="2" t="s">
        <v>468</v>
      </c>
      <c r="D225" s="2">
        <v>37</v>
      </c>
      <c r="E225" s="2">
        <v>148</v>
      </c>
      <c r="F225" s="2">
        <v>1</v>
      </c>
      <c r="G225" s="2">
        <v>36</v>
      </c>
      <c r="H225" s="2" t="s">
        <v>469</v>
      </c>
      <c r="I225" s="2">
        <v>240</v>
      </c>
      <c r="J225" s="2">
        <v>960</v>
      </c>
      <c r="K225" s="2">
        <v>960</v>
      </c>
      <c r="L225" s="2">
        <v>-720</v>
      </c>
      <c r="M225" s="2">
        <v>-684</v>
      </c>
      <c r="N225" s="2" t="s">
        <v>17</v>
      </c>
      <c r="O225" s="2" t="s">
        <v>20</v>
      </c>
      <c r="P225">
        <f t="shared" si="18"/>
        <v>0.97297297297297303</v>
      </c>
      <c r="Q225">
        <f t="shared" si="19"/>
        <v>-3</v>
      </c>
      <c r="R225">
        <f t="shared" si="20"/>
        <v>1</v>
      </c>
      <c r="S225">
        <f t="shared" si="21"/>
        <v>-3</v>
      </c>
      <c r="T225">
        <f t="shared" si="22"/>
        <v>-2</v>
      </c>
      <c r="U225">
        <f t="shared" si="23"/>
        <v>131.52461873611722</v>
      </c>
    </row>
    <row r="226" spans="1:21" x14ac:dyDescent="0.2">
      <c r="A226" s="3">
        <v>45882</v>
      </c>
      <c r="B226" s="2">
        <v>119395.9</v>
      </c>
      <c r="C226" s="2" t="s">
        <v>470</v>
      </c>
      <c r="D226" s="2">
        <v>57.5</v>
      </c>
      <c r="E226" s="2">
        <v>230</v>
      </c>
      <c r="F226" s="2">
        <v>1</v>
      </c>
      <c r="G226" s="2">
        <v>56.5</v>
      </c>
      <c r="H226" s="2" t="s">
        <v>471</v>
      </c>
      <c r="I226" s="2">
        <v>55.5</v>
      </c>
      <c r="J226" s="2">
        <v>222</v>
      </c>
      <c r="K226" s="2">
        <v>1</v>
      </c>
      <c r="L226" s="2">
        <v>54.5</v>
      </c>
      <c r="M226" s="2">
        <v>111</v>
      </c>
      <c r="N226" s="2" t="s">
        <v>17</v>
      </c>
      <c r="O226" s="2" t="s">
        <v>17</v>
      </c>
      <c r="P226">
        <f t="shared" si="18"/>
        <v>0.9826086956521739</v>
      </c>
      <c r="Q226">
        <f t="shared" si="19"/>
        <v>0.98198198198198194</v>
      </c>
      <c r="R226">
        <f t="shared" si="20"/>
        <v>1</v>
      </c>
      <c r="S226">
        <f t="shared" si="21"/>
        <v>1</v>
      </c>
      <c r="T226">
        <f t="shared" si="22"/>
        <v>2</v>
      </c>
      <c r="U226">
        <f t="shared" si="23"/>
        <v>133.52461873611722</v>
      </c>
    </row>
    <row r="227" spans="1:21" x14ac:dyDescent="0.2">
      <c r="A227" s="3">
        <v>45883</v>
      </c>
      <c r="B227" s="2">
        <v>121611.7</v>
      </c>
      <c r="C227" s="2" t="s">
        <v>472</v>
      </c>
      <c r="D227" s="2">
        <v>68</v>
      </c>
      <c r="E227" s="2">
        <v>272</v>
      </c>
      <c r="F227" s="2">
        <v>272</v>
      </c>
      <c r="G227" s="2">
        <v>-204</v>
      </c>
      <c r="H227" s="2" t="s">
        <v>473</v>
      </c>
      <c r="I227" s="2">
        <v>98</v>
      </c>
      <c r="J227" s="2">
        <v>392</v>
      </c>
      <c r="K227" s="2">
        <v>1</v>
      </c>
      <c r="L227" s="2">
        <v>97</v>
      </c>
      <c r="M227" s="2">
        <v>-107</v>
      </c>
      <c r="N227" s="2" t="s">
        <v>20</v>
      </c>
      <c r="O227" s="2" t="s">
        <v>17</v>
      </c>
      <c r="P227">
        <f t="shared" si="18"/>
        <v>-3</v>
      </c>
      <c r="Q227">
        <f t="shared" si="19"/>
        <v>0.98979591836734693</v>
      </c>
      <c r="R227">
        <f t="shared" si="20"/>
        <v>-3</v>
      </c>
      <c r="S227">
        <f t="shared" si="21"/>
        <v>1</v>
      </c>
      <c r="T227">
        <f t="shared" si="22"/>
        <v>-2</v>
      </c>
      <c r="U227">
        <f t="shared" si="23"/>
        <v>131.52461873611722</v>
      </c>
    </row>
    <row r="228" spans="1:21" x14ac:dyDescent="0.2">
      <c r="A228" s="3">
        <v>45884</v>
      </c>
      <c r="B228" s="2">
        <v>118109.2</v>
      </c>
      <c r="C228" s="2" t="s">
        <v>474</v>
      </c>
      <c r="D228" s="2">
        <v>61</v>
      </c>
      <c r="E228" s="2">
        <v>244</v>
      </c>
      <c r="F228" s="2">
        <v>1</v>
      </c>
      <c r="G228" s="2">
        <v>60</v>
      </c>
      <c r="H228" s="2" t="s">
        <v>475</v>
      </c>
      <c r="I228" s="2">
        <v>31</v>
      </c>
      <c r="J228" s="2">
        <v>124</v>
      </c>
      <c r="K228" s="2">
        <v>1</v>
      </c>
      <c r="L228" s="2">
        <v>30</v>
      </c>
      <c r="M228" s="2">
        <v>90</v>
      </c>
      <c r="N228" s="2" t="s">
        <v>17</v>
      </c>
      <c r="O228" s="2" t="s">
        <v>17</v>
      </c>
      <c r="P228">
        <f t="shared" si="18"/>
        <v>0.98360655737704916</v>
      </c>
      <c r="Q228">
        <f t="shared" si="19"/>
        <v>0.967741935483871</v>
      </c>
      <c r="R228">
        <f t="shared" si="20"/>
        <v>1</v>
      </c>
      <c r="S228">
        <f t="shared" si="21"/>
        <v>1</v>
      </c>
      <c r="T228">
        <f t="shared" si="22"/>
        <v>2</v>
      </c>
      <c r="U228">
        <f t="shared" si="23"/>
        <v>133.52461873611722</v>
      </c>
    </row>
    <row r="229" spans="1:21" x14ac:dyDescent="0.2">
      <c r="A229" s="3">
        <v>45885</v>
      </c>
      <c r="B229" s="2">
        <v>117070.9</v>
      </c>
      <c r="C229" s="2" t="s">
        <v>476</v>
      </c>
      <c r="D229" s="2">
        <v>42</v>
      </c>
      <c r="E229" s="2">
        <v>168</v>
      </c>
      <c r="F229" s="2">
        <v>1</v>
      </c>
      <c r="G229" s="2">
        <v>41</v>
      </c>
      <c r="H229" s="2" t="s">
        <v>477</v>
      </c>
      <c r="I229" s="2">
        <v>35</v>
      </c>
      <c r="J229" s="2">
        <v>140</v>
      </c>
      <c r="K229" s="2">
        <v>1</v>
      </c>
      <c r="L229" s="2">
        <v>34</v>
      </c>
      <c r="M229" s="2">
        <v>75</v>
      </c>
      <c r="N229" s="2" t="s">
        <v>17</v>
      </c>
      <c r="O229" s="2" t="s">
        <v>17</v>
      </c>
      <c r="P229">
        <f t="shared" si="18"/>
        <v>0.97619047619047616</v>
      </c>
      <c r="Q229">
        <f t="shared" si="19"/>
        <v>0.97142857142857142</v>
      </c>
      <c r="R229">
        <f t="shared" si="20"/>
        <v>1</v>
      </c>
      <c r="S229">
        <f t="shared" si="21"/>
        <v>1</v>
      </c>
      <c r="T229">
        <f t="shared" si="22"/>
        <v>2</v>
      </c>
      <c r="U229">
        <f t="shared" si="23"/>
        <v>135.52461873611722</v>
      </c>
    </row>
    <row r="230" spans="1:21" x14ac:dyDescent="0.2">
      <c r="A230" s="3">
        <v>45886</v>
      </c>
      <c r="B230" s="2">
        <v>117673.1</v>
      </c>
      <c r="C230" s="2" t="s">
        <v>478</v>
      </c>
      <c r="D230" s="2">
        <v>84</v>
      </c>
      <c r="E230" s="2">
        <v>336</v>
      </c>
      <c r="F230" s="2">
        <v>1</v>
      </c>
      <c r="G230" s="2">
        <v>83</v>
      </c>
      <c r="H230" s="2" t="s">
        <v>479</v>
      </c>
      <c r="I230" s="2">
        <v>30.5</v>
      </c>
      <c r="J230" s="2">
        <v>122</v>
      </c>
      <c r="K230" s="2">
        <v>1</v>
      </c>
      <c r="L230" s="2">
        <v>29.5</v>
      </c>
      <c r="M230" s="2">
        <v>112.5</v>
      </c>
      <c r="N230" s="2" t="s">
        <v>17</v>
      </c>
      <c r="O230" s="2" t="s">
        <v>17</v>
      </c>
      <c r="P230">
        <f t="shared" si="18"/>
        <v>0.98809523809523814</v>
      </c>
      <c r="Q230">
        <f t="shared" si="19"/>
        <v>0.96721311475409832</v>
      </c>
      <c r="R230">
        <f t="shared" si="20"/>
        <v>1</v>
      </c>
      <c r="S230">
        <f t="shared" si="21"/>
        <v>1</v>
      </c>
      <c r="T230">
        <f t="shared" si="22"/>
        <v>2</v>
      </c>
      <c r="U230">
        <f t="shared" si="23"/>
        <v>137.52461873611722</v>
      </c>
    </row>
    <row r="231" spans="1:21" x14ac:dyDescent="0.2">
      <c r="A231" s="3">
        <v>45887</v>
      </c>
      <c r="B231" s="2">
        <v>117589.1</v>
      </c>
      <c r="C231" s="2" t="s">
        <v>480</v>
      </c>
      <c r="D231" s="2">
        <v>67</v>
      </c>
      <c r="E231" s="2">
        <v>268</v>
      </c>
      <c r="F231" s="2">
        <v>1</v>
      </c>
      <c r="G231" s="2">
        <v>66</v>
      </c>
      <c r="H231" s="2" t="s">
        <v>481</v>
      </c>
      <c r="I231" s="2">
        <v>38.5</v>
      </c>
      <c r="J231" s="2">
        <v>154</v>
      </c>
      <c r="K231" s="2">
        <v>154</v>
      </c>
      <c r="L231" s="2">
        <v>-115.5</v>
      </c>
      <c r="M231" s="2">
        <v>-49.5</v>
      </c>
      <c r="N231" s="2" t="s">
        <v>17</v>
      </c>
      <c r="O231" s="2" t="s">
        <v>20</v>
      </c>
      <c r="P231">
        <f t="shared" si="18"/>
        <v>0.9850746268656716</v>
      </c>
      <c r="Q231">
        <f t="shared" si="19"/>
        <v>-3</v>
      </c>
      <c r="R231">
        <f t="shared" si="20"/>
        <v>1</v>
      </c>
      <c r="S231">
        <f t="shared" si="21"/>
        <v>-3</v>
      </c>
      <c r="T231">
        <f t="shared" si="22"/>
        <v>-2</v>
      </c>
      <c r="U231">
        <f t="shared" si="23"/>
        <v>135.52461873611722</v>
      </c>
    </row>
    <row r="232" spans="1:21" x14ac:dyDescent="0.2">
      <c r="A232" s="3">
        <v>45888</v>
      </c>
      <c r="B232" s="2">
        <v>116583.6</v>
      </c>
      <c r="C232" s="2" t="s">
        <v>482</v>
      </c>
      <c r="D232" s="2">
        <v>34</v>
      </c>
      <c r="E232" s="2">
        <v>136</v>
      </c>
      <c r="F232" s="2">
        <v>1</v>
      </c>
      <c r="G232" s="2">
        <v>33</v>
      </c>
      <c r="H232" s="2" t="s">
        <v>483</v>
      </c>
      <c r="I232" s="2">
        <v>38</v>
      </c>
      <c r="J232" s="2">
        <v>152</v>
      </c>
      <c r="K232" s="2">
        <v>152</v>
      </c>
      <c r="L232" s="2">
        <v>-114</v>
      </c>
      <c r="M232" s="2">
        <v>-81</v>
      </c>
      <c r="N232" s="2" t="s">
        <v>17</v>
      </c>
      <c r="O232" s="2" t="s">
        <v>20</v>
      </c>
      <c r="P232">
        <f t="shared" si="18"/>
        <v>0.97058823529411764</v>
      </c>
      <c r="Q232">
        <f t="shared" si="19"/>
        <v>-3</v>
      </c>
      <c r="R232">
        <f t="shared" si="20"/>
        <v>1</v>
      </c>
      <c r="S232">
        <f t="shared" si="21"/>
        <v>-3</v>
      </c>
      <c r="T232">
        <f t="shared" si="22"/>
        <v>-2</v>
      </c>
      <c r="U232">
        <f t="shared" si="23"/>
        <v>133.52461873611722</v>
      </c>
    </row>
    <row r="233" spans="1:21" x14ac:dyDescent="0.2">
      <c r="A233" s="3">
        <v>45889</v>
      </c>
      <c r="B233" s="2">
        <v>112914.4</v>
      </c>
      <c r="C233" s="2" t="s">
        <v>484</v>
      </c>
      <c r="D233" s="2">
        <v>30</v>
      </c>
      <c r="E233" s="2">
        <v>120</v>
      </c>
      <c r="F233" s="2">
        <v>1</v>
      </c>
      <c r="G233" s="2">
        <v>29</v>
      </c>
      <c r="H233" s="2" t="s">
        <v>485</v>
      </c>
      <c r="I233" s="2">
        <v>145</v>
      </c>
      <c r="J233" s="2">
        <v>580</v>
      </c>
      <c r="K233" s="2">
        <v>1</v>
      </c>
      <c r="L233" s="2">
        <v>144</v>
      </c>
      <c r="M233" s="2">
        <v>173</v>
      </c>
      <c r="N233" s="2" t="s">
        <v>17</v>
      </c>
      <c r="O233" s="2" t="s">
        <v>17</v>
      </c>
      <c r="P233">
        <f t="shared" si="18"/>
        <v>0.96666666666666667</v>
      </c>
      <c r="Q233">
        <f t="shared" si="19"/>
        <v>0.99310344827586206</v>
      </c>
      <c r="R233">
        <f t="shared" si="20"/>
        <v>1</v>
      </c>
      <c r="S233">
        <f t="shared" si="21"/>
        <v>1</v>
      </c>
      <c r="T233">
        <f t="shared" si="22"/>
        <v>2</v>
      </c>
      <c r="U233">
        <f t="shared" si="23"/>
        <v>135.52461873611722</v>
      </c>
    </row>
    <row r="234" spans="1:21" x14ac:dyDescent="0.2">
      <c r="A234" s="3">
        <v>45890</v>
      </c>
      <c r="B234" s="2">
        <v>113533.8</v>
      </c>
      <c r="C234" s="2" t="s">
        <v>486</v>
      </c>
      <c r="D234" s="2">
        <v>42.5</v>
      </c>
      <c r="E234" s="2">
        <v>170</v>
      </c>
      <c r="F234" s="2">
        <v>1</v>
      </c>
      <c r="G234" s="2">
        <v>41.5</v>
      </c>
      <c r="H234" s="2" t="s">
        <v>487</v>
      </c>
      <c r="I234" s="2">
        <v>83.5</v>
      </c>
      <c r="J234" s="2">
        <v>334</v>
      </c>
      <c r="K234" s="2">
        <v>1</v>
      </c>
      <c r="L234" s="2">
        <v>82.5</v>
      </c>
      <c r="M234" s="2">
        <v>124</v>
      </c>
      <c r="N234" s="2" t="s">
        <v>17</v>
      </c>
      <c r="O234" s="2" t="s">
        <v>17</v>
      </c>
      <c r="P234">
        <f t="shared" si="18"/>
        <v>0.97647058823529409</v>
      </c>
      <c r="Q234">
        <f t="shared" si="19"/>
        <v>0.9880239520958084</v>
      </c>
      <c r="R234">
        <f t="shared" si="20"/>
        <v>1</v>
      </c>
      <c r="S234">
        <f t="shared" si="21"/>
        <v>1</v>
      </c>
      <c r="T234">
        <f t="shared" si="22"/>
        <v>2</v>
      </c>
      <c r="U234">
        <f t="shared" si="23"/>
        <v>137.52461873611722</v>
      </c>
    </row>
    <row r="235" spans="1:21" x14ac:dyDescent="0.2">
      <c r="A235" s="3">
        <v>45891</v>
      </c>
      <c r="B235" s="2">
        <v>112615.8</v>
      </c>
      <c r="C235" s="2" t="s">
        <v>488</v>
      </c>
      <c r="D235" s="2">
        <v>30</v>
      </c>
      <c r="E235" s="2">
        <v>120</v>
      </c>
      <c r="F235" s="2">
        <v>1</v>
      </c>
      <c r="G235" s="2">
        <v>29</v>
      </c>
      <c r="H235" s="2" t="s">
        <v>489</v>
      </c>
      <c r="I235" s="2">
        <v>265</v>
      </c>
      <c r="J235" s="2">
        <v>1060</v>
      </c>
      <c r="K235" s="2">
        <v>1</v>
      </c>
      <c r="L235" s="2">
        <v>264</v>
      </c>
      <c r="M235" s="2">
        <v>293</v>
      </c>
      <c r="N235" s="2" t="s">
        <v>17</v>
      </c>
      <c r="O235" s="2" t="s">
        <v>17</v>
      </c>
      <c r="P235">
        <f t="shared" si="18"/>
        <v>0.96666666666666667</v>
      </c>
      <c r="Q235">
        <f t="shared" si="19"/>
        <v>0.99622641509433962</v>
      </c>
      <c r="R235">
        <f t="shared" si="20"/>
        <v>1</v>
      </c>
      <c r="S235">
        <f t="shared" si="21"/>
        <v>1</v>
      </c>
      <c r="T235">
        <f t="shared" si="22"/>
        <v>2</v>
      </c>
      <c r="U235">
        <f t="shared" si="23"/>
        <v>139.52461873611722</v>
      </c>
    </row>
    <row r="236" spans="1:21" x14ac:dyDescent="0.2">
      <c r="A236" s="3">
        <v>45892</v>
      </c>
      <c r="B236" s="2">
        <v>116744.2</v>
      </c>
      <c r="C236" s="2" t="s">
        <v>490</v>
      </c>
      <c r="D236" s="2">
        <v>155</v>
      </c>
      <c r="E236" s="2">
        <v>620</v>
      </c>
      <c r="F236" s="2">
        <v>1</v>
      </c>
      <c r="G236" s="2">
        <v>154</v>
      </c>
      <c r="H236" s="2" t="s">
        <v>491</v>
      </c>
      <c r="I236" s="2">
        <v>71.5</v>
      </c>
      <c r="J236" s="2">
        <v>286</v>
      </c>
      <c r="K236" s="2">
        <v>1</v>
      </c>
      <c r="L236" s="2">
        <v>70.5</v>
      </c>
      <c r="M236" s="2">
        <v>224.5</v>
      </c>
      <c r="N236" s="2" t="s">
        <v>17</v>
      </c>
      <c r="O236" s="2" t="s">
        <v>17</v>
      </c>
      <c r="P236">
        <f t="shared" si="18"/>
        <v>0.99354838709677418</v>
      </c>
      <c r="Q236">
        <f t="shared" si="19"/>
        <v>0.98601398601398604</v>
      </c>
      <c r="R236">
        <f t="shared" si="20"/>
        <v>1</v>
      </c>
      <c r="S236">
        <f t="shared" si="21"/>
        <v>1</v>
      </c>
      <c r="T236">
        <f t="shared" si="22"/>
        <v>2</v>
      </c>
      <c r="U236">
        <f t="shared" si="23"/>
        <v>141.52461873611722</v>
      </c>
    </row>
    <row r="237" spans="1:21" x14ac:dyDescent="0.2">
      <c r="A237" s="3">
        <v>45893</v>
      </c>
      <c r="B237" s="2">
        <v>115176</v>
      </c>
      <c r="C237" s="2" t="s">
        <v>492</v>
      </c>
      <c r="D237" s="2">
        <v>54</v>
      </c>
      <c r="E237" s="2">
        <v>216</v>
      </c>
      <c r="F237" s="2">
        <v>1</v>
      </c>
      <c r="G237" s="2">
        <v>53</v>
      </c>
      <c r="H237" s="2" t="s">
        <v>493</v>
      </c>
      <c r="I237" s="2">
        <v>191.7</v>
      </c>
      <c r="J237" s="2">
        <v>766.8</v>
      </c>
      <c r="K237" s="2">
        <v>101.9827586</v>
      </c>
      <c r="L237" s="2">
        <v>89.717241380000004</v>
      </c>
      <c r="M237" s="2">
        <v>142.71724140000001</v>
      </c>
      <c r="N237" s="2" t="s">
        <v>17</v>
      </c>
      <c r="O237" s="2" t="s">
        <v>247</v>
      </c>
      <c r="P237">
        <f t="shared" si="18"/>
        <v>0.98148148148148151</v>
      </c>
      <c r="Q237">
        <f t="shared" si="19"/>
        <v>0.46800856223265525</v>
      </c>
      <c r="R237">
        <f t="shared" si="20"/>
        <v>1</v>
      </c>
      <c r="S237">
        <f t="shared" si="21"/>
        <v>0.46800856223265525</v>
      </c>
      <c r="T237">
        <f t="shared" si="22"/>
        <v>1.4680085622326553</v>
      </c>
      <c r="U237">
        <f t="shared" si="23"/>
        <v>142.99262729834987</v>
      </c>
    </row>
    <row r="238" spans="1:21" x14ac:dyDescent="0.2">
      <c r="A238" s="3">
        <v>45894</v>
      </c>
      <c r="B238" s="2">
        <v>114612.5</v>
      </c>
      <c r="C238" s="2" t="s">
        <v>494</v>
      </c>
      <c r="D238" s="2">
        <v>38</v>
      </c>
      <c r="E238" s="2">
        <v>152</v>
      </c>
      <c r="F238" s="2">
        <v>1</v>
      </c>
      <c r="G238" s="2">
        <v>37</v>
      </c>
      <c r="H238" s="2" t="s">
        <v>495</v>
      </c>
      <c r="I238" s="2">
        <v>294</v>
      </c>
      <c r="J238" s="2">
        <v>1176</v>
      </c>
      <c r="K238" s="2">
        <v>1176</v>
      </c>
      <c r="L238" s="2">
        <v>-882</v>
      </c>
      <c r="M238" s="2">
        <v>-845</v>
      </c>
      <c r="N238" s="2" t="s">
        <v>17</v>
      </c>
      <c r="O238" s="2" t="s">
        <v>20</v>
      </c>
      <c r="P238">
        <f t="shared" si="18"/>
        <v>0.97368421052631582</v>
      </c>
      <c r="Q238">
        <f t="shared" si="19"/>
        <v>-3</v>
      </c>
      <c r="R238">
        <f t="shared" si="20"/>
        <v>1</v>
      </c>
      <c r="S238">
        <f t="shared" si="21"/>
        <v>-3</v>
      </c>
      <c r="T238">
        <f t="shared" si="22"/>
        <v>-2</v>
      </c>
      <c r="U238">
        <f t="shared" si="23"/>
        <v>140.99262729834987</v>
      </c>
    </row>
    <row r="239" spans="1:21" x14ac:dyDescent="0.2">
      <c r="A239" s="3">
        <v>45895</v>
      </c>
      <c r="B239" s="2">
        <v>112350.1</v>
      </c>
      <c r="C239" s="2" t="s">
        <v>496</v>
      </c>
      <c r="D239" s="2">
        <v>30</v>
      </c>
      <c r="E239" s="2">
        <v>120</v>
      </c>
      <c r="F239" s="2">
        <v>1</v>
      </c>
      <c r="G239" s="2">
        <v>29</v>
      </c>
      <c r="H239" s="2" t="s">
        <v>497</v>
      </c>
      <c r="I239" s="2">
        <v>30</v>
      </c>
      <c r="J239" s="2">
        <v>120</v>
      </c>
      <c r="K239" s="2">
        <v>120</v>
      </c>
      <c r="L239" s="2">
        <v>-90</v>
      </c>
      <c r="M239" s="2">
        <v>-61</v>
      </c>
      <c r="N239" s="2" t="s">
        <v>17</v>
      </c>
      <c r="O239" s="2" t="s">
        <v>20</v>
      </c>
      <c r="P239">
        <f t="shared" si="18"/>
        <v>0.96666666666666667</v>
      </c>
      <c r="Q239">
        <f t="shared" si="19"/>
        <v>-3</v>
      </c>
      <c r="R239">
        <f t="shared" si="20"/>
        <v>1</v>
      </c>
      <c r="S239">
        <f t="shared" si="21"/>
        <v>-3</v>
      </c>
      <c r="T239">
        <f t="shared" si="22"/>
        <v>-2</v>
      </c>
      <c r="U239">
        <f t="shared" si="23"/>
        <v>138.99262729834987</v>
      </c>
    </row>
    <row r="240" spans="1:21" x14ac:dyDescent="0.2">
      <c r="A240" s="3">
        <v>45896</v>
      </c>
      <c r="B240" s="2">
        <v>110648</v>
      </c>
      <c r="C240" s="2" t="s">
        <v>498</v>
      </c>
      <c r="D240" s="2">
        <v>52</v>
      </c>
      <c r="E240" s="2">
        <v>208</v>
      </c>
      <c r="F240" s="2">
        <v>208</v>
      </c>
      <c r="G240" s="2">
        <v>-156</v>
      </c>
      <c r="H240" s="2" t="s">
        <v>499</v>
      </c>
      <c r="I240" s="2">
        <v>335</v>
      </c>
      <c r="J240" s="2">
        <v>1340</v>
      </c>
      <c r="K240" s="2">
        <v>1</v>
      </c>
      <c r="L240" s="2">
        <v>334</v>
      </c>
      <c r="M240" s="2">
        <v>178</v>
      </c>
      <c r="N240" s="2" t="s">
        <v>20</v>
      </c>
      <c r="O240" s="2" t="s">
        <v>17</v>
      </c>
      <c r="P240">
        <f t="shared" si="18"/>
        <v>-3</v>
      </c>
      <c r="Q240">
        <f t="shared" si="19"/>
        <v>0.9970149253731343</v>
      </c>
      <c r="R240">
        <f t="shared" si="20"/>
        <v>-3</v>
      </c>
      <c r="S240">
        <f t="shared" si="21"/>
        <v>1</v>
      </c>
      <c r="T240">
        <f t="shared" si="22"/>
        <v>-2</v>
      </c>
      <c r="U240">
        <f t="shared" si="23"/>
        <v>136.99262729834987</v>
      </c>
    </row>
    <row r="241" spans="1:21" x14ac:dyDescent="0.2">
      <c r="A241" s="3">
        <v>45897</v>
      </c>
      <c r="B241" s="2">
        <v>111999</v>
      </c>
      <c r="C241" s="2" t="s">
        <v>500</v>
      </c>
      <c r="D241" s="2">
        <v>38</v>
      </c>
      <c r="E241" s="2">
        <v>152</v>
      </c>
      <c r="F241" s="2">
        <v>1</v>
      </c>
      <c r="G241" s="2">
        <v>37</v>
      </c>
      <c r="H241" s="2" t="s">
        <v>501</v>
      </c>
      <c r="I241" s="2">
        <v>41.4</v>
      </c>
      <c r="J241" s="2">
        <v>165.6</v>
      </c>
      <c r="K241" s="2">
        <v>1</v>
      </c>
      <c r="L241" s="2">
        <v>40.4</v>
      </c>
      <c r="M241" s="2">
        <v>77.400000000000006</v>
      </c>
      <c r="N241" s="2" t="s">
        <v>17</v>
      </c>
      <c r="O241" s="2" t="s">
        <v>17</v>
      </c>
      <c r="P241">
        <f t="shared" si="18"/>
        <v>0.97368421052631582</v>
      </c>
      <c r="Q241">
        <f t="shared" si="19"/>
        <v>0.97584541062801933</v>
      </c>
      <c r="R241">
        <f t="shared" si="20"/>
        <v>1</v>
      </c>
      <c r="S241">
        <f t="shared" si="21"/>
        <v>1</v>
      </c>
      <c r="T241">
        <f t="shared" si="22"/>
        <v>2</v>
      </c>
      <c r="U241">
        <f t="shared" si="23"/>
        <v>138.99262729834987</v>
      </c>
    </row>
    <row r="242" spans="1:21" x14ac:dyDescent="0.2">
      <c r="A242" s="3">
        <v>45898</v>
      </c>
      <c r="B242" s="2">
        <v>112373.4</v>
      </c>
      <c r="C242" s="2" t="s">
        <v>502</v>
      </c>
      <c r="D242" s="2">
        <v>43.5</v>
      </c>
      <c r="E242" s="2">
        <v>174</v>
      </c>
      <c r="F242" s="2">
        <v>1</v>
      </c>
      <c r="G242" s="2">
        <v>42.5</v>
      </c>
      <c r="H242" s="2" t="s">
        <v>503</v>
      </c>
      <c r="I242" s="2">
        <v>330</v>
      </c>
      <c r="J242" s="2">
        <v>1320</v>
      </c>
      <c r="K242" s="2">
        <v>1320</v>
      </c>
      <c r="L242" s="2">
        <v>-990</v>
      </c>
      <c r="M242" s="2">
        <v>-947.5</v>
      </c>
      <c r="N242" s="2" t="s">
        <v>17</v>
      </c>
      <c r="O242" s="2" t="s">
        <v>20</v>
      </c>
      <c r="P242">
        <f t="shared" si="18"/>
        <v>0.97701149425287359</v>
      </c>
      <c r="Q242">
        <f t="shared" si="19"/>
        <v>-3</v>
      </c>
      <c r="R242">
        <f t="shared" si="20"/>
        <v>1</v>
      </c>
      <c r="S242">
        <f t="shared" si="21"/>
        <v>-3</v>
      </c>
      <c r="T242">
        <f t="shared" si="22"/>
        <v>-2</v>
      </c>
      <c r="U242">
        <f t="shared" si="23"/>
        <v>136.99262729834987</v>
      </c>
    </row>
    <row r="243" spans="1:21" x14ac:dyDescent="0.2">
      <c r="A243" s="3">
        <v>45899</v>
      </c>
      <c r="B243" s="2">
        <v>108101</v>
      </c>
      <c r="C243" s="2" t="s">
        <v>504</v>
      </c>
      <c r="D243" s="2">
        <v>100</v>
      </c>
      <c r="E243" s="2">
        <v>400</v>
      </c>
      <c r="F243" s="2">
        <v>1</v>
      </c>
      <c r="G243" s="2">
        <v>99</v>
      </c>
      <c r="H243" s="2" t="s">
        <v>505</v>
      </c>
      <c r="I243" s="2">
        <v>113</v>
      </c>
      <c r="J243" s="2">
        <v>452</v>
      </c>
      <c r="K243" s="2">
        <v>1</v>
      </c>
      <c r="L243" s="2">
        <v>112</v>
      </c>
      <c r="M243" s="2">
        <v>211</v>
      </c>
      <c r="N243" s="2" t="s">
        <v>17</v>
      </c>
      <c r="O243" s="2" t="s">
        <v>17</v>
      </c>
      <c r="P243">
        <f t="shared" si="18"/>
        <v>0.99</v>
      </c>
      <c r="Q243">
        <f t="shared" si="19"/>
        <v>0.99115044247787609</v>
      </c>
      <c r="R243">
        <f t="shared" si="20"/>
        <v>1</v>
      </c>
      <c r="S243">
        <f t="shared" si="21"/>
        <v>1</v>
      </c>
      <c r="T243">
        <f t="shared" si="22"/>
        <v>2</v>
      </c>
      <c r="U243">
        <f t="shared" si="23"/>
        <v>138.99262729834987</v>
      </c>
    </row>
    <row r="244" spans="1:21" x14ac:dyDescent="0.2">
      <c r="A244" s="3">
        <v>45900</v>
      </c>
      <c r="B244" s="2">
        <v>108740.2</v>
      </c>
      <c r="C244" s="2" t="s">
        <v>506</v>
      </c>
      <c r="D244" s="2">
        <v>128</v>
      </c>
      <c r="E244" s="2">
        <v>512</v>
      </c>
      <c r="F244" s="2">
        <v>1</v>
      </c>
      <c r="G244" s="2">
        <v>127</v>
      </c>
      <c r="H244" s="2" t="s">
        <v>507</v>
      </c>
      <c r="I244" s="2">
        <v>365.8</v>
      </c>
      <c r="J244" s="2">
        <v>1463.2</v>
      </c>
      <c r="K244" s="2">
        <v>375.03793100000001</v>
      </c>
      <c r="L244" s="2">
        <v>-9.2379310340000007</v>
      </c>
      <c r="M244" s="2">
        <v>117.762069</v>
      </c>
      <c r="N244" s="2" t="s">
        <v>17</v>
      </c>
      <c r="O244" s="2" t="s">
        <v>247</v>
      </c>
      <c r="P244">
        <f t="shared" si="18"/>
        <v>0.9921875</v>
      </c>
      <c r="Q244">
        <f t="shared" si="19"/>
        <v>-2.525404875341717E-2</v>
      </c>
      <c r="R244">
        <f t="shared" si="20"/>
        <v>1</v>
      </c>
      <c r="S244">
        <f t="shared" si="21"/>
        <v>-2.525404875341717E-2</v>
      </c>
      <c r="T244">
        <f t="shared" si="22"/>
        <v>0.97474595124658281</v>
      </c>
      <c r="U244">
        <f t="shared" si="23"/>
        <v>139.96737324959645</v>
      </c>
    </row>
    <row r="245" spans="1:21" x14ac:dyDescent="0.2">
      <c r="A245" s="3">
        <v>45901</v>
      </c>
      <c r="B245" s="2">
        <v>109135.8</v>
      </c>
      <c r="C245" s="2" t="s">
        <v>508</v>
      </c>
      <c r="D245" s="2">
        <v>103</v>
      </c>
      <c r="E245" s="2">
        <v>412</v>
      </c>
      <c r="F245" s="2">
        <v>1</v>
      </c>
      <c r="G245" s="2">
        <v>102</v>
      </c>
      <c r="H245" s="2" t="s">
        <v>509</v>
      </c>
      <c r="I245" s="2">
        <v>355</v>
      </c>
      <c r="J245" s="2">
        <v>1420</v>
      </c>
      <c r="K245" s="2">
        <v>1420</v>
      </c>
      <c r="L245" s="2">
        <v>-1065</v>
      </c>
      <c r="M245" s="2">
        <v>-963</v>
      </c>
      <c r="N245" s="2" t="s">
        <v>17</v>
      </c>
      <c r="O245" s="2" t="s">
        <v>20</v>
      </c>
      <c r="P245">
        <f t="shared" si="18"/>
        <v>0.99029126213592233</v>
      </c>
      <c r="Q245">
        <f t="shared" si="19"/>
        <v>-3</v>
      </c>
      <c r="R245">
        <f t="shared" si="20"/>
        <v>1</v>
      </c>
      <c r="S245">
        <f t="shared" si="21"/>
        <v>-3</v>
      </c>
      <c r="T245">
        <f t="shared" si="22"/>
        <v>-2</v>
      </c>
      <c r="U245">
        <f t="shared" si="23"/>
        <v>137.96737324959645</v>
      </c>
    </row>
    <row r="246" spans="1:21" x14ac:dyDescent="0.2">
      <c r="A246" s="3">
        <v>45902</v>
      </c>
      <c r="B246" s="2">
        <v>109204.9</v>
      </c>
      <c r="C246" s="2" t="s">
        <v>510</v>
      </c>
      <c r="D246" s="2">
        <v>178</v>
      </c>
      <c r="E246" s="2">
        <v>712</v>
      </c>
      <c r="F246" s="2">
        <v>712</v>
      </c>
      <c r="G246" s="2">
        <v>-534</v>
      </c>
      <c r="H246" s="2" t="s">
        <v>511</v>
      </c>
      <c r="I246" s="2">
        <v>60</v>
      </c>
      <c r="J246" s="2">
        <v>240</v>
      </c>
      <c r="K246" s="2">
        <v>240</v>
      </c>
      <c r="L246" s="2">
        <v>-180</v>
      </c>
      <c r="M246" s="2">
        <v>-714</v>
      </c>
      <c r="N246" s="2" t="s">
        <v>20</v>
      </c>
      <c r="O246" s="2" t="s">
        <v>20</v>
      </c>
      <c r="P246">
        <f t="shared" si="18"/>
        <v>-3</v>
      </c>
      <c r="Q246">
        <f t="shared" si="19"/>
        <v>-3</v>
      </c>
      <c r="R246">
        <f t="shared" si="20"/>
        <v>-3</v>
      </c>
      <c r="S246">
        <f t="shared" si="21"/>
        <v>-3</v>
      </c>
      <c r="T246">
        <f t="shared" si="22"/>
        <v>-6</v>
      </c>
      <c r="U246">
        <f t="shared" si="23"/>
        <v>131.96737324959645</v>
      </c>
    </row>
    <row r="247" spans="1:21" x14ac:dyDescent="0.2">
      <c r="A247" s="3">
        <v>45903</v>
      </c>
      <c r="B247" s="2">
        <v>110627.3</v>
      </c>
      <c r="C247" s="2" t="s">
        <v>512</v>
      </c>
      <c r="D247" s="2">
        <v>33</v>
      </c>
      <c r="E247" s="2">
        <v>132</v>
      </c>
      <c r="F247" s="2">
        <v>1</v>
      </c>
      <c r="G247" s="2">
        <v>32</v>
      </c>
      <c r="H247" s="2" t="s">
        <v>513</v>
      </c>
      <c r="I247" s="2">
        <v>35</v>
      </c>
      <c r="J247" s="2">
        <v>140</v>
      </c>
      <c r="K247" s="2">
        <v>1</v>
      </c>
      <c r="L247" s="2">
        <v>34</v>
      </c>
      <c r="M247" s="2">
        <v>66</v>
      </c>
      <c r="N247" s="2" t="s">
        <v>17</v>
      </c>
      <c r="O247" s="2" t="s">
        <v>17</v>
      </c>
      <c r="P247">
        <f t="shared" si="18"/>
        <v>0.96969696969696972</v>
      </c>
      <c r="Q247">
        <f t="shared" si="19"/>
        <v>0.97142857142857142</v>
      </c>
      <c r="R247">
        <f t="shared" si="20"/>
        <v>1</v>
      </c>
      <c r="S247">
        <f t="shared" si="21"/>
        <v>1</v>
      </c>
      <c r="T247">
        <f t="shared" si="22"/>
        <v>2</v>
      </c>
      <c r="U247">
        <f t="shared" si="23"/>
        <v>133.96737324959645</v>
      </c>
    </row>
    <row r="248" spans="1:21" x14ac:dyDescent="0.2">
      <c r="A248" s="3">
        <v>45904</v>
      </c>
      <c r="B248" s="2">
        <v>111914.8</v>
      </c>
      <c r="C248" s="2" t="s">
        <v>514</v>
      </c>
      <c r="D248" s="2">
        <v>38</v>
      </c>
      <c r="E248" s="2">
        <v>152</v>
      </c>
      <c r="F248" s="2">
        <v>1</v>
      </c>
      <c r="G248" s="2">
        <v>37</v>
      </c>
      <c r="H248" s="2" t="s">
        <v>515</v>
      </c>
      <c r="I248" s="2">
        <v>49</v>
      </c>
      <c r="J248" s="2">
        <v>196</v>
      </c>
      <c r="K248" s="2">
        <v>1</v>
      </c>
      <c r="L248" s="2">
        <v>48</v>
      </c>
      <c r="M248" s="2">
        <v>85</v>
      </c>
      <c r="N248" s="2" t="s">
        <v>17</v>
      </c>
      <c r="O248" s="2" t="s">
        <v>17</v>
      </c>
      <c r="P248">
        <f t="shared" si="18"/>
        <v>0.97368421052631582</v>
      </c>
      <c r="Q248">
        <f t="shared" si="19"/>
        <v>0.97959183673469385</v>
      </c>
      <c r="R248">
        <f t="shared" si="20"/>
        <v>1</v>
      </c>
      <c r="S248">
        <f t="shared" si="21"/>
        <v>1</v>
      </c>
      <c r="T248">
        <f t="shared" si="22"/>
        <v>2</v>
      </c>
      <c r="U248">
        <f t="shared" si="23"/>
        <v>135.96737324959645</v>
      </c>
    </row>
    <row r="249" spans="1:21" x14ac:dyDescent="0.2">
      <c r="A249" s="3">
        <v>45905</v>
      </c>
      <c r="B249" s="2">
        <v>109988.5</v>
      </c>
      <c r="C249" s="2" t="s">
        <v>516</v>
      </c>
      <c r="D249" s="2">
        <v>53</v>
      </c>
      <c r="E249" s="2">
        <v>212</v>
      </c>
      <c r="F249" s="2">
        <v>212</v>
      </c>
      <c r="G249" s="2">
        <v>-159</v>
      </c>
      <c r="H249" s="2" t="s">
        <v>517</v>
      </c>
      <c r="I249" s="2">
        <v>30</v>
      </c>
      <c r="J249" s="2">
        <v>120</v>
      </c>
      <c r="K249" s="2">
        <v>1</v>
      </c>
      <c r="L249" s="2">
        <v>29</v>
      </c>
      <c r="M249" s="2">
        <v>-130</v>
      </c>
      <c r="N249" s="2" t="s">
        <v>20</v>
      </c>
      <c r="O249" s="2" t="s">
        <v>17</v>
      </c>
      <c r="P249">
        <f t="shared" si="18"/>
        <v>-3</v>
      </c>
      <c r="Q249">
        <f t="shared" si="19"/>
        <v>0.96666666666666667</v>
      </c>
      <c r="R249">
        <f t="shared" si="20"/>
        <v>-3</v>
      </c>
      <c r="S249">
        <f t="shared" si="21"/>
        <v>1</v>
      </c>
      <c r="T249">
        <f t="shared" si="22"/>
        <v>-2</v>
      </c>
      <c r="U249">
        <f t="shared" si="23"/>
        <v>133.96737324959645</v>
      </c>
    </row>
    <row r="250" spans="1:21" x14ac:dyDescent="0.2">
      <c r="A250" s="3">
        <v>45906</v>
      </c>
      <c r="B250" s="2">
        <v>111207</v>
      </c>
      <c r="C250" s="2" t="s">
        <v>518</v>
      </c>
      <c r="D250" s="2">
        <v>49</v>
      </c>
      <c r="E250" s="2">
        <v>196</v>
      </c>
      <c r="F250" s="2">
        <v>1</v>
      </c>
      <c r="G250" s="2">
        <v>48</v>
      </c>
      <c r="H250" s="2" t="s">
        <v>519</v>
      </c>
      <c r="I250" s="2">
        <v>59</v>
      </c>
      <c r="J250" s="2">
        <v>236</v>
      </c>
      <c r="K250" s="2">
        <v>1</v>
      </c>
      <c r="L250" s="2">
        <v>58</v>
      </c>
      <c r="M250" s="2">
        <v>106</v>
      </c>
      <c r="N250" s="2" t="s">
        <v>17</v>
      </c>
      <c r="O250" s="2" t="s">
        <v>17</v>
      </c>
      <c r="P250">
        <f t="shared" si="18"/>
        <v>0.97959183673469385</v>
      </c>
      <c r="Q250">
        <f t="shared" si="19"/>
        <v>0.98305084745762716</v>
      </c>
      <c r="R250">
        <f t="shared" si="20"/>
        <v>1</v>
      </c>
      <c r="S250">
        <f t="shared" si="21"/>
        <v>1</v>
      </c>
      <c r="T250">
        <f t="shared" si="22"/>
        <v>2</v>
      </c>
      <c r="U250">
        <f t="shared" si="23"/>
        <v>135.96737324959645</v>
      </c>
    </row>
    <row r="251" spans="1:21" x14ac:dyDescent="0.2">
      <c r="A251" s="3">
        <v>45907</v>
      </c>
      <c r="B251" s="2">
        <v>110264.6</v>
      </c>
      <c r="C251" s="2" t="s">
        <v>520</v>
      </c>
      <c r="D251" s="2">
        <v>170</v>
      </c>
      <c r="E251" s="2">
        <v>680</v>
      </c>
      <c r="F251" s="2">
        <v>458.45172409999998</v>
      </c>
      <c r="G251" s="2">
        <v>-288.45172409999998</v>
      </c>
      <c r="H251" s="2" t="s">
        <v>521</v>
      </c>
      <c r="I251" s="2">
        <v>40</v>
      </c>
      <c r="J251" s="2">
        <v>160</v>
      </c>
      <c r="K251" s="2">
        <v>1</v>
      </c>
      <c r="L251" s="2">
        <v>39</v>
      </c>
      <c r="M251" s="2">
        <v>-249.45172410000001</v>
      </c>
      <c r="N251" s="2" t="s">
        <v>247</v>
      </c>
      <c r="O251" s="2" t="s">
        <v>17</v>
      </c>
      <c r="P251">
        <f t="shared" si="18"/>
        <v>-1.6967748476470588</v>
      </c>
      <c r="Q251">
        <f t="shared" si="19"/>
        <v>0.97499999999999998</v>
      </c>
      <c r="R251">
        <f t="shared" si="20"/>
        <v>-1.6967748476470588</v>
      </c>
      <c r="S251">
        <f t="shared" si="21"/>
        <v>1</v>
      </c>
      <c r="T251">
        <f t="shared" si="22"/>
        <v>-0.69677484764705877</v>
      </c>
      <c r="U251">
        <f t="shared" si="23"/>
        <v>135.2705984019494</v>
      </c>
    </row>
    <row r="252" spans="1:21" x14ac:dyDescent="0.2">
      <c r="A252" s="3">
        <v>45908</v>
      </c>
      <c r="B252" s="2">
        <v>111102.1</v>
      </c>
      <c r="C252" s="2" t="s">
        <v>522</v>
      </c>
      <c r="D252" s="2">
        <v>35</v>
      </c>
      <c r="E252" s="2">
        <v>140</v>
      </c>
      <c r="F252" s="2">
        <v>1</v>
      </c>
      <c r="G252" s="2">
        <v>34</v>
      </c>
      <c r="H252" s="2" t="s">
        <v>523</v>
      </c>
      <c r="I252" s="2">
        <v>70</v>
      </c>
      <c r="J252" s="2">
        <v>280</v>
      </c>
      <c r="K252" s="2">
        <v>1</v>
      </c>
      <c r="L252" s="2">
        <v>69</v>
      </c>
      <c r="M252" s="2">
        <v>103</v>
      </c>
      <c r="N252" s="2" t="s">
        <v>17</v>
      </c>
      <c r="O252" s="2" t="s">
        <v>17</v>
      </c>
      <c r="P252">
        <f t="shared" si="18"/>
        <v>0.97142857142857142</v>
      </c>
      <c r="Q252">
        <f t="shared" si="19"/>
        <v>0.98571428571428577</v>
      </c>
      <c r="R252">
        <f t="shared" si="20"/>
        <v>1</v>
      </c>
      <c r="S252">
        <f t="shared" si="21"/>
        <v>1</v>
      </c>
      <c r="T252">
        <f t="shared" si="22"/>
        <v>2</v>
      </c>
      <c r="U252">
        <f t="shared" si="23"/>
        <v>137.2705984019494</v>
      </c>
    </row>
    <row r="253" spans="1:21" x14ac:dyDescent="0.2">
      <c r="A253" s="3">
        <v>45909</v>
      </c>
      <c r="B253" s="2">
        <v>112436.3</v>
      </c>
      <c r="C253" s="2" t="s">
        <v>524</v>
      </c>
      <c r="D253" s="2">
        <v>169</v>
      </c>
      <c r="E253" s="2">
        <v>676</v>
      </c>
      <c r="F253" s="2">
        <v>1</v>
      </c>
      <c r="G253" s="2">
        <v>168</v>
      </c>
      <c r="H253" s="2" t="s">
        <v>525</v>
      </c>
      <c r="I253" s="2">
        <v>34</v>
      </c>
      <c r="J253" s="2">
        <v>136</v>
      </c>
      <c r="K253" s="2">
        <v>136</v>
      </c>
      <c r="L253" s="2">
        <v>-102</v>
      </c>
      <c r="M253" s="2">
        <v>66</v>
      </c>
      <c r="N253" s="2" t="s">
        <v>17</v>
      </c>
      <c r="O253" s="2" t="s">
        <v>20</v>
      </c>
      <c r="P253">
        <f t="shared" si="18"/>
        <v>0.99408284023668636</v>
      </c>
      <c r="Q253">
        <f t="shared" si="19"/>
        <v>-3</v>
      </c>
      <c r="R253">
        <f t="shared" si="20"/>
        <v>1</v>
      </c>
      <c r="S253">
        <f t="shared" si="21"/>
        <v>-3</v>
      </c>
      <c r="T253">
        <f t="shared" si="22"/>
        <v>-2</v>
      </c>
      <c r="U253">
        <f t="shared" si="23"/>
        <v>135.2705984019494</v>
      </c>
    </row>
    <row r="254" spans="1:21" x14ac:dyDescent="0.2">
      <c r="A254" s="3">
        <v>45910</v>
      </c>
      <c r="B254" s="2">
        <v>111160.5</v>
      </c>
      <c r="C254" s="2" t="s">
        <v>526</v>
      </c>
      <c r="D254" s="2">
        <v>32</v>
      </c>
      <c r="E254" s="2">
        <v>128</v>
      </c>
      <c r="F254" s="2">
        <v>128</v>
      </c>
      <c r="G254" s="2">
        <v>-96</v>
      </c>
      <c r="H254" s="2" t="s">
        <v>527</v>
      </c>
      <c r="I254" s="2">
        <v>35</v>
      </c>
      <c r="J254" s="2">
        <v>140</v>
      </c>
      <c r="K254" s="2">
        <v>1</v>
      </c>
      <c r="L254" s="2">
        <v>34</v>
      </c>
      <c r="M254" s="2">
        <v>-62</v>
      </c>
      <c r="N254" s="2" t="s">
        <v>20</v>
      </c>
      <c r="O254" s="2" t="s">
        <v>17</v>
      </c>
      <c r="P254">
        <f t="shared" si="18"/>
        <v>-3</v>
      </c>
      <c r="Q254">
        <f t="shared" si="19"/>
        <v>0.97142857142857142</v>
      </c>
      <c r="R254">
        <f t="shared" si="20"/>
        <v>-3</v>
      </c>
      <c r="S254">
        <f t="shared" si="21"/>
        <v>1</v>
      </c>
      <c r="T254">
        <f t="shared" si="22"/>
        <v>-2</v>
      </c>
      <c r="U254">
        <f t="shared" si="23"/>
        <v>133.2705984019494</v>
      </c>
    </row>
    <row r="255" spans="1:21" x14ac:dyDescent="0.2">
      <c r="A255" s="3">
        <v>45911</v>
      </c>
      <c r="B255" s="2">
        <v>113557.3</v>
      </c>
      <c r="C255" s="2" t="s">
        <v>528</v>
      </c>
      <c r="D255" s="2">
        <v>49</v>
      </c>
      <c r="E255" s="2">
        <v>196</v>
      </c>
      <c r="F255" s="2">
        <v>1</v>
      </c>
      <c r="G255" s="2">
        <v>48</v>
      </c>
      <c r="H255" s="2" t="s">
        <v>529</v>
      </c>
      <c r="I255" s="2">
        <v>499</v>
      </c>
      <c r="J255" s="2">
        <v>1996</v>
      </c>
      <c r="K255" s="2">
        <v>1</v>
      </c>
      <c r="L255" s="2">
        <v>498</v>
      </c>
      <c r="M255" s="2">
        <v>546</v>
      </c>
      <c r="N255" s="2" t="s">
        <v>17</v>
      </c>
      <c r="O255" s="2" t="s">
        <v>17</v>
      </c>
      <c r="P255">
        <f t="shared" si="18"/>
        <v>0.97959183673469385</v>
      </c>
      <c r="Q255">
        <f t="shared" si="19"/>
        <v>0.99799599198396793</v>
      </c>
      <c r="R255">
        <f t="shared" si="20"/>
        <v>1</v>
      </c>
      <c r="S255">
        <f t="shared" si="21"/>
        <v>1</v>
      </c>
      <c r="T255">
        <f t="shared" si="22"/>
        <v>2</v>
      </c>
      <c r="U255">
        <f t="shared" si="23"/>
        <v>135.2705984019494</v>
      </c>
    </row>
    <row r="256" spans="1:21" x14ac:dyDescent="0.2">
      <c r="A256" s="3">
        <v>45912</v>
      </c>
      <c r="B256" s="2">
        <v>114271.3</v>
      </c>
      <c r="C256" s="2" t="s">
        <v>530</v>
      </c>
      <c r="D256" s="2">
        <v>33</v>
      </c>
      <c r="E256" s="2">
        <v>132</v>
      </c>
      <c r="F256" s="2">
        <v>132</v>
      </c>
      <c r="G256" s="2">
        <v>-99</v>
      </c>
      <c r="H256" s="2" t="s">
        <v>531</v>
      </c>
      <c r="I256" s="2">
        <v>75</v>
      </c>
      <c r="J256" s="2">
        <v>300</v>
      </c>
      <c r="K256" s="2">
        <v>1</v>
      </c>
      <c r="L256" s="2">
        <v>74</v>
      </c>
      <c r="M256" s="2">
        <v>-25</v>
      </c>
      <c r="N256" s="2" t="s">
        <v>20</v>
      </c>
      <c r="O256" s="2" t="s">
        <v>17</v>
      </c>
      <c r="P256">
        <f t="shared" si="18"/>
        <v>-3</v>
      </c>
      <c r="Q256">
        <f t="shared" si="19"/>
        <v>0.98666666666666669</v>
      </c>
      <c r="R256">
        <f t="shared" si="20"/>
        <v>-3</v>
      </c>
      <c r="S256">
        <f t="shared" si="21"/>
        <v>1</v>
      </c>
      <c r="T256">
        <f t="shared" si="22"/>
        <v>-2</v>
      </c>
      <c r="U256">
        <f t="shared" si="23"/>
        <v>133.2705984019494</v>
      </c>
    </row>
    <row r="257" spans="1:21" x14ac:dyDescent="0.2">
      <c r="A257" s="3">
        <v>45913</v>
      </c>
      <c r="B257" s="2">
        <v>116437.6</v>
      </c>
      <c r="C257" s="2" t="s">
        <v>532</v>
      </c>
      <c r="D257" s="2">
        <v>46</v>
      </c>
      <c r="E257" s="2">
        <v>184</v>
      </c>
      <c r="F257" s="2">
        <v>1</v>
      </c>
      <c r="G257" s="2">
        <v>45</v>
      </c>
      <c r="H257" s="2" t="s">
        <v>533</v>
      </c>
      <c r="I257" s="2">
        <v>46</v>
      </c>
      <c r="J257" s="2">
        <v>184</v>
      </c>
      <c r="K257" s="2">
        <v>1</v>
      </c>
      <c r="L257" s="2">
        <v>45</v>
      </c>
      <c r="M257" s="2">
        <v>90</v>
      </c>
      <c r="N257" s="2" t="s">
        <v>17</v>
      </c>
      <c r="O257" s="2" t="s">
        <v>17</v>
      </c>
      <c r="P257">
        <f t="shared" si="18"/>
        <v>0.97826086956521741</v>
      </c>
      <c r="Q257">
        <f t="shared" si="19"/>
        <v>0.97826086956521741</v>
      </c>
      <c r="R257">
        <f t="shared" si="20"/>
        <v>1</v>
      </c>
      <c r="S257">
        <f t="shared" si="21"/>
        <v>1</v>
      </c>
      <c r="T257">
        <f t="shared" si="22"/>
        <v>2</v>
      </c>
      <c r="U257">
        <f t="shared" si="23"/>
        <v>135.2705984019494</v>
      </c>
    </row>
    <row r="258" spans="1:21" x14ac:dyDescent="0.2">
      <c r="A258" s="3">
        <v>45914</v>
      </c>
      <c r="B258" s="2">
        <v>115636.1</v>
      </c>
      <c r="C258" s="2" t="s">
        <v>534</v>
      </c>
      <c r="D258" s="2">
        <v>231</v>
      </c>
      <c r="E258" s="2">
        <v>924</v>
      </c>
      <c r="F258" s="2">
        <v>1</v>
      </c>
      <c r="G258" s="2">
        <v>230</v>
      </c>
      <c r="H258" s="2" t="s">
        <v>535</v>
      </c>
      <c r="I258" s="2">
        <v>114</v>
      </c>
      <c r="J258" s="2">
        <v>456</v>
      </c>
      <c r="K258" s="2">
        <v>1</v>
      </c>
      <c r="L258" s="2">
        <v>113</v>
      </c>
      <c r="M258" s="2">
        <v>343</v>
      </c>
      <c r="N258" s="2" t="s">
        <v>17</v>
      </c>
      <c r="O258" s="2" t="s">
        <v>17</v>
      </c>
      <c r="P258">
        <f t="shared" si="18"/>
        <v>0.99567099567099571</v>
      </c>
      <c r="Q258">
        <f t="shared" si="19"/>
        <v>0.99122807017543857</v>
      </c>
      <c r="R258">
        <f t="shared" si="20"/>
        <v>1</v>
      </c>
      <c r="S258">
        <f t="shared" si="21"/>
        <v>1</v>
      </c>
      <c r="T258">
        <f t="shared" si="22"/>
        <v>2</v>
      </c>
      <c r="U258">
        <f t="shared" si="23"/>
        <v>137.2705984019494</v>
      </c>
    </row>
    <row r="259" spans="1:21" x14ac:dyDescent="0.2">
      <c r="A259" s="3">
        <v>45915</v>
      </c>
      <c r="B259" s="2">
        <v>115393.1</v>
      </c>
      <c r="C259" s="2" t="s">
        <v>536</v>
      </c>
      <c r="D259" s="2">
        <v>96</v>
      </c>
      <c r="E259" s="2">
        <v>384</v>
      </c>
      <c r="F259" s="2">
        <v>1</v>
      </c>
      <c r="G259" s="2">
        <v>95</v>
      </c>
      <c r="H259" s="2" t="s">
        <v>537</v>
      </c>
      <c r="I259" s="2">
        <v>409</v>
      </c>
      <c r="J259" s="2">
        <v>1636</v>
      </c>
      <c r="K259" s="2">
        <v>336.10689660000003</v>
      </c>
      <c r="L259" s="2">
        <v>72.893103449999998</v>
      </c>
      <c r="M259" s="2">
        <v>167.8931034</v>
      </c>
      <c r="N259" s="2" t="s">
        <v>17</v>
      </c>
      <c r="O259" s="2" t="s">
        <v>247</v>
      </c>
      <c r="P259">
        <f t="shared" ref="P259:P322" si="24">G259/D259</f>
        <v>0.98958333333333337</v>
      </c>
      <c r="Q259">
        <f t="shared" ref="Q259:Q322" si="25">L259/I259</f>
        <v>0.1782227468215159</v>
      </c>
      <c r="R259">
        <f t="shared" ref="R259:R322" si="26">IF(P259&gt;0.9,1,P259)</f>
        <v>1</v>
      </c>
      <c r="S259">
        <f t="shared" ref="S259:S322" si="27">IF(Q259&gt;0.9,1,Q259)</f>
        <v>0.1782227468215159</v>
      </c>
      <c r="T259">
        <f t="shared" ref="T259:T322" si="28">S259+R259</f>
        <v>1.1782227468215158</v>
      </c>
      <c r="U259">
        <f t="shared" si="23"/>
        <v>138.44882114877092</v>
      </c>
    </row>
    <row r="260" spans="1:21" x14ac:dyDescent="0.2">
      <c r="A260" s="3">
        <v>45916</v>
      </c>
      <c r="B260" s="2">
        <v>115376.1</v>
      </c>
      <c r="C260" s="2" t="s">
        <v>538</v>
      </c>
      <c r="D260" s="2">
        <v>53</v>
      </c>
      <c r="E260" s="2">
        <v>212</v>
      </c>
      <c r="F260" s="2">
        <v>1</v>
      </c>
      <c r="G260" s="2">
        <v>52</v>
      </c>
      <c r="H260" s="2" t="s">
        <v>539</v>
      </c>
      <c r="I260" s="2">
        <v>41</v>
      </c>
      <c r="J260" s="2">
        <v>164</v>
      </c>
      <c r="K260" s="2">
        <v>1</v>
      </c>
      <c r="L260" s="2">
        <v>40</v>
      </c>
      <c r="M260" s="2">
        <v>92</v>
      </c>
      <c r="N260" s="2" t="s">
        <v>17</v>
      </c>
      <c r="O260" s="2" t="s">
        <v>17</v>
      </c>
      <c r="P260">
        <f t="shared" si="24"/>
        <v>0.98113207547169812</v>
      </c>
      <c r="Q260">
        <f t="shared" si="25"/>
        <v>0.97560975609756095</v>
      </c>
      <c r="R260">
        <f t="shared" si="26"/>
        <v>1</v>
      </c>
      <c r="S260">
        <f t="shared" si="27"/>
        <v>1</v>
      </c>
      <c r="T260">
        <f t="shared" si="28"/>
        <v>2</v>
      </c>
      <c r="U260">
        <f t="shared" ref="U260:U323" si="29">U259+T260</f>
        <v>140.44882114877092</v>
      </c>
    </row>
    <row r="261" spans="1:21" x14ac:dyDescent="0.2">
      <c r="A261" s="3">
        <v>45917</v>
      </c>
      <c r="B261" s="2">
        <v>116448.7</v>
      </c>
      <c r="C261" s="2" t="s">
        <v>540</v>
      </c>
      <c r="D261" s="2">
        <v>61</v>
      </c>
      <c r="E261" s="2">
        <v>244</v>
      </c>
      <c r="F261" s="2">
        <v>1</v>
      </c>
      <c r="G261" s="2">
        <v>60</v>
      </c>
      <c r="H261" s="2" t="s">
        <v>541</v>
      </c>
      <c r="I261" s="2">
        <v>41</v>
      </c>
      <c r="J261" s="2">
        <v>164</v>
      </c>
      <c r="K261" s="2">
        <v>1</v>
      </c>
      <c r="L261" s="2">
        <v>40</v>
      </c>
      <c r="M261" s="2">
        <v>100</v>
      </c>
      <c r="N261" s="2" t="s">
        <v>17</v>
      </c>
      <c r="O261" s="2" t="s">
        <v>17</v>
      </c>
      <c r="P261">
        <f t="shared" si="24"/>
        <v>0.98360655737704916</v>
      </c>
      <c r="Q261">
        <f t="shared" si="25"/>
        <v>0.97560975609756095</v>
      </c>
      <c r="R261">
        <f t="shared" si="26"/>
        <v>1</v>
      </c>
      <c r="S261">
        <f t="shared" si="27"/>
        <v>1</v>
      </c>
      <c r="T261">
        <f t="shared" si="28"/>
        <v>2</v>
      </c>
      <c r="U261">
        <f t="shared" si="29"/>
        <v>142.44882114877092</v>
      </c>
    </row>
    <row r="262" spans="1:21" x14ac:dyDescent="0.2">
      <c r="A262" s="3">
        <v>45918</v>
      </c>
      <c r="B262" s="2">
        <v>115199.5</v>
      </c>
      <c r="C262" s="2" t="s">
        <v>542</v>
      </c>
      <c r="D262" s="2">
        <v>51</v>
      </c>
      <c r="E262" s="2">
        <v>204</v>
      </c>
      <c r="F262" s="2">
        <v>1</v>
      </c>
      <c r="G262" s="2">
        <v>50</v>
      </c>
      <c r="H262" s="2" t="s">
        <v>543</v>
      </c>
      <c r="I262" s="2">
        <v>37</v>
      </c>
      <c r="J262" s="2">
        <v>148</v>
      </c>
      <c r="K262" s="2">
        <v>1</v>
      </c>
      <c r="L262" s="2">
        <v>36</v>
      </c>
      <c r="M262" s="2">
        <v>86</v>
      </c>
      <c r="N262" s="2" t="s">
        <v>17</v>
      </c>
      <c r="O262" s="2" t="s">
        <v>17</v>
      </c>
      <c r="P262">
        <f t="shared" si="24"/>
        <v>0.98039215686274506</v>
      </c>
      <c r="Q262">
        <f t="shared" si="25"/>
        <v>0.97297297297297303</v>
      </c>
      <c r="R262">
        <f t="shared" si="26"/>
        <v>1</v>
      </c>
      <c r="S262">
        <f t="shared" si="27"/>
        <v>1</v>
      </c>
      <c r="T262">
        <f t="shared" si="28"/>
        <v>2</v>
      </c>
      <c r="U262">
        <f t="shared" si="29"/>
        <v>144.44882114877092</v>
      </c>
    </row>
    <row r="263" spans="1:21" x14ac:dyDescent="0.2">
      <c r="A263" s="3">
        <v>45919</v>
      </c>
      <c r="B263" s="2">
        <v>117771.2</v>
      </c>
      <c r="C263" s="2" t="s">
        <v>544</v>
      </c>
      <c r="D263" s="2">
        <v>51</v>
      </c>
      <c r="E263" s="2">
        <v>204</v>
      </c>
      <c r="F263" s="2">
        <v>1</v>
      </c>
      <c r="G263" s="2">
        <v>50</v>
      </c>
      <c r="H263" s="2" t="s">
        <v>545</v>
      </c>
      <c r="I263" s="2">
        <v>80</v>
      </c>
      <c r="J263" s="2">
        <v>320</v>
      </c>
      <c r="K263" s="2">
        <v>320</v>
      </c>
      <c r="L263" s="2">
        <v>-240</v>
      </c>
      <c r="M263" s="2">
        <v>-190</v>
      </c>
      <c r="N263" s="2" t="s">
        <v>17</v>
      </c>
      <c r="O263" s="2" t="s">
        <v>20</v>
      </c>
      <c r="P263">
        <f t="shared" si="24"/>
        <v>0.98039215686274506</v>
      </c>
      <c r="Q263">
        <f t="shared" si="25"/>
        <v>-3</v>
      </c>
      <c r="R263">
        <f t="shared" si="26"/>
        <v>1</v>
      </c>
      <c r="S263">
        <f t="shared" si="27"/>
        <v>-3</v>
      </c>
      <c r="T263">
        <f t="shared" si="28"/>
        <v>-2</v>
      </c>
      <c r="U263">
        <f t="shared" si="29"/>
        <v>142.44882114877092</v>
      </c>
    </row>
    <row r="264" spans="1:21" x14ac:dyDescent="0.2">
      <c r="A264" s="3">
        <v>45920</v>
      </c>
      <c r="B264" s="2">
        <v>115420.5</v>
      </c>
      <c r="C264" s="2" t="s">
        <v>546</v>
      </c>
      <c r="D264" s="2">
        <v>60</v>
      </c>
      <c r="E264" s="2">
        <v>240</v>
      </c>
      <c r="F264" s="2">
        <v>1</v>
      </c>
      <c r="G264" s="2">
        <v>59</v>
      </c>
      <c r="H264" s="2" t="s">
        <v>547</v>
      </c>
      <c r="I264" s="2">
        <v>98</v>
      </c>
      <c r="J264" s="2">
        <v>392</v>
      </c>
      <c r="K264" s="2">
        <v>1</v>
      </c>
      <c r="L264" s="2">
        <v>97</v>
      </c>
      <c r="M264" s="2">
        <v>156</v>
      </c>
      <c r="N264" s="2" t="s">
        <v>17</v>
      </c>
      <c r="O264" s="2" t="s">
        <v>17</v>
      </c>
      <c r="P264">
        <f t="shared" si="24"/>
        <v>0.98333333333333328</v>
      </c>
      <c r="Q264">
        <f t="shared" si="25"/>
        <v>0.98979591836734693</v>
      </c>
      <c r="R264">
        <f t="shared" si="26"/>
        <v>1</v>
      </c>
      <c r="S264">
        <f t="shared" si="27"/>
        <v>1</v>
      </c>
      <c r="T264">
        <f t="shared" si="28"/>
        <v>2</v>
      </c>
      <c r="U264">
        <f t="shared" si="29"/>
        <v>144.44882114877092</v>
      </c>
    </row>
    <row r="265" spans="1:21" x14ac:dyDescent="0.2">
      <c r="A265" s="3">
        <v>45921</v>
      </c>
      <c r="B265" s="2">
        <v>115709.4</v>
      </c>
      <c r="C265" s="2" t="s">
        <v>548</v>
      </c>
      <c r="D265" s="2">
        <v>55</v>
      </c>
      <c r="E265" s="2">
        <v>220</v>
      </c>
      <c r="F265" s="2">
        <v>1</v>
      </c>
      <c r="G265" s="2">
        <v>54</v>
      </c>
      <c r="H265" s="2" t="s">
        <v>549</v>
      </c>
      <c r="I265" s="2">
        <v>56</v>
      </c>
      <c r="J265" s="2">
        <v>224</v>
      </c>
      <c r="K265" s="2">
        <v>1</v>
      </c>
      <c r="L265" s="2">
        <v>55</v>
      </c>
      <c r="M265" s="2">
        <v>109</v>
      </c>
      <c r="N265" s="2" t="s">
        <v>17</v>
      </c>
      <c r="O265" s="2" t="s">
        <v>17</v>
      </c>
      <c r="P265">
        <f t="shared" si="24"/>
        <v>0.98181818181818181</v>
      </c>
      <c r="Q265">
        <f t="shared" si="25"/>
        <v>0.9821428571428571</v>
      </c>
      <c r="R265">
        <f t="shared" si="26"/>
        <v>1</v>
      </c>
      <c r="S265">
        <f t="shared" si="27"/>
        <v>1</v>
      </c>
      <c r="T265">
        <f t="shared" si="28"/>
        <v>2</v>
      </c>
      <c r="U265">
        <f t="shared" si="29"/>
        <v>146.44882114877092</v>
      </c>
    </row>
    <row r="266" spans="1:21" x14ac:dyDescent="0.2">
      <c r="A266" s="3">
        <v>45922</v>
      </c>
      <c r="B266" s="2">
        <v>115521.2</v>
      </c>
      <c r="C266" s="2" t="s">
        <v>550</v>
      </c>
      <c r="D266" s="2">
        <v>165</v>
      </c>
      <c r="E266" s="2">
        <v>660</v>
      </c>
      <c r="F266" s="2">
        <v>1</v>
      </c>
      <c r="G266" s="2">
        <v>164</v>
      </c>
      <c r="H266" s="2" t="s">
        <v>551</v>
      </c>
      <c r="I266" s="2">
        <v>108</v>
      </c>
      <c r="J266" s="2">
        <v>432</v>
      </c>
      <c r="K266" s="2">
        <v>432</v>
      </c>
      <c r="L266" s="2">
        <v>-324</v>
      </c>
      <c r="M266" s="2">
        <v>-160</v>
      </c>
      <c r="N266" s="2" t="s">
        <v>17</v>
      </c>
      <c r="O266" s="2" t="s">
        <v>20</v>
      </c>
      <c r="P266">
        <f t="shared" si="24"/>
        <v>0.9939393939393939</v>
      </c>
      <c r="Q266">
        <f t="shared" si="25"/>
        <v>-3</v>
      </c>
      <c r="R266">
        <f t="shared" si="26"/>
        <v>1</v>
      </c>
      <c r="S266">
        <f t="shared" si="27"/>
        <v>-3</v>
      </c>
      <c r="T266">
        <f t="shared" si="28"/>
        <v>-2</v>
      </c>
      <c r="U266">
        <f t="shared" si="29"/>
        <v>144.44882114877092</v>
      </c>
    </row>
    <row r="267" spans="1:21" x14ac:dyDescent="0.2">
      <c r="A267" s="3">
        <v>45923</v>
      </c>
      <c r="B267" s="2">
        <v>112466.4</v>
      </c>
      <c r="C267" s="2" t="s">
        <v>552</v>
      </c>
      <c r="D267" s="2">
        <v>94</v>
      </c>
      <c r="E267" s="2">
        <v>376</v>
      </c>
      <c r="F267" s="2">
        <v>1</v>
      </c>
      <c r="G267" s="2">
        <v>93</v>
      </c>
      <c r="H267" s="2" t="s">
        <v>553</v>
      </c>
      <c r="I267" s="2">
        <v>89</v>
      </c>
      <c r="J267" s="2">
        <v>356</v>
      </c>
      <c r="K267" s="2">
        <v>1</v>
      </c>
      <c r="L267" s="2">
        <v>88</v>
      </c>
      <c r="M267" s="2">
        <v>181</v>
      </c>
      <c r="N267" s="2" t="s">
        <v>17</v>
      </c>
      <c r="O267" s="2" t="s">
        <v>17</v>
      </c>
      <c r="P267">
        <f t="shared" si="24"/>
        <v>0.98936170212765961</v>
      </c>
      <c r="Q267">
        <f t="shared" si="25"/>
        <v>0.9887640449438202</v>
      </c>
      <c r="R267">
        <f t="shared" si="26"/>
        <v>1</v>
      </c>
      <c r="S267">
        <f t="shared" si="27"/>
        <v>1</v>
      </c>
      <c r="T267">
        <f t="shared" si="28"/>
        <v>2</v>
      </c>
      <c r="U267">
        <f t="shared" si="29"/>
        <v>146.44882114877092</v>
      </c>
    </row>
    <row r="268" spans="1:21" x14ac:dyDescent="0.2">
      <c r="A268" s="3">
        <v>45924</v>
      </c>
      <c r="B268" s="2">
        <v>111787.7</v>
      </c>
      <c r="C268" s="2" t="s">
        <v>554</v>
      </c>
      <c r="D268" s="2">
        <v>58</v>
      </c>
      <c r="E268" s="2">
        <v>232</v>
      </c>
      <c r="F268" s="2">
        <v>1</v>
      </c>
      <c r="G268" s="2">
        <v>57</v>
      </c>
      <c r="H268" s="2" t="s">
        <v>555</v>
      </c>
      <c r="I268" s="2">
        <v>45</v>
      </c>
      <c r="J268" s="2">
        <v>180</v>
      </c>
      <c r="K268" s="2">
        <v>1</v>
      </c>
      <c r="L268" s="2">
        <v>44</v>
      </c>
      <c r="M268" s="2">
        <v>101</v>
      </c>
      <c r="N268" s="2" t="s">
        <v>17</v>
      </c>
      <c r="O268" s="2" t="s">
        <v>17</v>
      </c>
      <c r="P268">
        <f t="shared" si="24"/>
        <v>0.98275862068965514</v>
      </c>
      <c r="Q268">
        <f t="shared" si="25"/>
        <v>0.97777777777777775</v>
      </c>
      <c r="R268">
        <f t="shared" si="26"/>
        <v>1</v>
      </c>
      <c r="S268">
        <f t="shared" si="27"/>
        <v>1</v>
      </c>
      <c r="T268">
        <f t="shared" si="28"/>
        <v>2</v>
      </c>
      <c r="U268">
        <f t="shared" si="29"/>
        <v>148.44882114877092</v>
      </c>
    </row>
    <row r="269" spans="1:21" x14ac:dyDescent="0.2">
      <c r="A269" s="3">
        <v>45925</v>
      </c>
      <c r="B269" s="2">
        <v>113596.9</v>
      </c>
      <c r="C269" s="2" t="s">
        <v>556</v>
      </c>
      <c r="D269" s="2">
        <v>31</v>
      </c>
      <c r="E269" s="2">
        <v>124</v>
      </c>
      <c r="F269" s="2">
        <v>1</v>
      </c>
      <c r="G269" s="2">
        <v>30</v>
      </c>
      <c r="H269" s="2" t="s">
        <v>557</v>
      </c>
      <c r="I269" s="2">
        <v>33</v>
      </c>
      <c r="J269" s="2">
        <v>132</v>
      </c>
      <c r="K269" s="2">
        <v>132</v>
      </c>
      <c r="L269" s="2">
        <v>-99</v>
      </c>
      <c r="M269" s="2">
        <v>-69</v>
      </c>
      <c r="N269" s="2" t="s">
        <v>17</v>
      </c>
      <c r="O269" s="2" t="s">
        <v>20</v>
      </c>
      <c r="P269">
        <f t="shared" si="24"/>
        <v>0.967741935483871</v>
      </c>
      <c r="Q269">
        <f t="shared" si="25"/>
        <v>-3</v>
      </c>
      <c r="R269">
        <f t="shared" si="26"/>
        <v>1</v>
      </c>
      <c r="S269">
        <f t="shared" si="27"/>
        <v>-3</v>
      </c>
      <c r="T269">
        <f t="shared" si="28"/>
        <v>-2</v>
      </c>
      <c r="U269">
        <f t="shared" si="29"/>
        <v>146.44882114877092</v>
      </c>
    </row>
    <row r="270" spans="1:21" x14ac:dyDescent="0.2">
      <c r="A270" s="3">
        <v>45926</v>
      </c>
      <c r="B270" s="2">
        <v>109861.8</v>
      </c>
      <c r="C270" s="2" t="s">
        <v>558</v>
      </c>
      <c r="D270" s="2">
        <v>33</v>
      </c>
      <c r="E270" s="2">
        <v>132</v>
      </c>
      <c r="F270" s="2">
        <v>1</v>
      </c>
      <c r="G270" s="2">
        <v>32</v>
      </c>
      <c r="H270" s="2" t="s">
        <v>559</v>
      </c>
      <c r="I270" s="2">
        <v>45</v>
      </c>
      <c r="J270" s="2">
        <v>180</v>
      </c>
      <c r="K270" s="2">
        <v>1</v>
      </c>
      <c r="L270" s="2">
        <v>44</v>
      </c>
      <c r="M270" s="2">
        <v>76</v>
      </c>
      <c r="N270" s="2" t="s">
        <v>17</v>
      </c>
      <c r="O270" s="2" t="s">
        <v>17</v>
      </c>
      <c r="P270">
        <f t="shared" si="24"/>
        <v>0.96969696969696972</v>
      </c>
      <c r="Q270">
        <f t="shared" si="25"/>
        <v>0.97777777777777775</v>
      </c>
      <c r="R270">
        <f t="shared" si="26"/>
        <v>1</v>
      </c>
      <c r="S270">
        <f t="shared" si="27"/>
        <v>1</v>
      </c>
      <c r="T270">
        <f t="shared" si="28"/>
        <v>2</v>
      </c>
      <c r="U270">
        <f t="shared" si="29"/>
        <v>148.44882114877092</v>
      </c>
    </row>
    <row r="271" spans="1:21" x14ac:dyDescent="0.2">
      <c r="A271" s="3">
        <v>45927</v>
      </c>
      <c r="B271" s="2">
        <v>109706.2</v>
      </c>
      <c r="C271" s="2" t="s">
        <v>560</v>
      </c>
      <c r="D271" s="2">
        <v>47</v>
      </c>
      <c r="E271" s="2">
        <v>188</v>
      </c>
      <c r="F271" s="2">
        <v>1</v>
      </c>
      <c r="G271" s="2">
        <v>46</v>
      </c>
      <c r="H271" s="2" t="s">
        <v>561</v>
      </c>
      <c r="I271" s="2">
        <v>61</v>
      </c>
      <c r="J271" s="2">
        <v>244</v>
      </c>
      <c r="K271" s="2">
        <v>1</v>
      </c>
      <c r="L271" s="2">
        <v>60</v>
      </c>
      <c r="M271" s="2">
        <v>106</v>
      </c>
      <c r="N271" s="2" t="s">
        <v>17</v>
      </c>
      <c r="O271" s="2" t="s">
        <v>17</v>
      </c>
      <c r="P271">
        <f t="shared" si="24"/>
        <v>0.97872340425531912</v>
      </c>
      <c r="Q271">
        <f t="shared" si="25"/>
        <v>0.98360655737704916</v>
      </c>
      <c r="R271">
        <f t="shared" si="26"/>
        <v>1</v>
      </c>
      <c r="S271">
        <f t="shared" si="27"/>
        <v>1</v>
      </c>
      <c r="T271">
        <f t="shared" si="28"/>
        <v>2</v>
      </c>
      <c r="U271">
        <f t="shared" si="29"/>
        <v>150.44882114877092</v>
      </c>
    </row>
    <row r="272" spans="1:21" x14ac:dyDescent="0.2">
      <c r="A272" s="3">
        <v>45928</v>
      </c>
      <c r="B272" s="2">
        <v>109435</v>
      </c>
      <c r="C272" s="2" t="s">
        <v>562</v>
      </c>
      <c r="D272" s="2">
        <v>185</v>
      </c>
      <c r="E272" s="2">
        <v>740</v>
      </c>
      <c r="F272" s="2">
        <v>1</v>
      </c>
      <c r="G272" s="2">
        <v>184</v>
      </c>
      <c r="H272" s="2" t="s">
        <v>563</v>
      </c>
      <c r="I272" s="2">
        <v>35</v>
      </c>
      <c r="J272" s="2">
        <v>140</v>
      </c>
      <c r="K272" s="2">
        <v>1</v>
      </c>
      <c r="L272" s="2">
        <v>34</v>
      </c>
      <c r="M272" s="2">
        <v>218</v>
      </c>
      <c r="N272" s="2" t="s">
        <v>17</v>
      </c>
      <c r="O272" s="2" t="s">
        <v>17</v>
      </c>
      <c r="P272">
        <f t="shared" si="24"/>
        <v>0.99459459459459465</v>
      </c>
      <c r="Q272">
        <f t="shared" si="25"/>
        <v>0.97142857142857142</v>
      </c>
      <c r="R272">
        <f t="shared" si="26"/>
        <v>1</v>
      </c>
      <c r="S272">
        <f t="shared" si="27"/>
        <v>1</v>
      </c>
      <c r="T272">
        <f t="shared" si="28"/>
        <v>2</v>
      </c>
      <c r="U272">
        <f t="shared" si="29"/>
        <v>152.44882114877092</v>
      </c>
    </row>
    <row r="273" spans="1:21" x14ac:dyDescent="0.2">
      <c r="A273" s="3">
        <v>45929</v>
      </c>
      <c r="B273" s="2">
        <v>110298.9</v>
      </c>
      <c r="C273" s="2" t="s">
        <v>564</v>
      </c>
      <c r="D273" s="2">
        <v>49</v>
      </c>
      <c r="E273" s="2">
        <v>196</v>
      </c>
      <c r="F273" s="2">
        <v>196</v>
      </c>
      <c r="G273" s="2">
        <v>-147</v>
      </c>
      <c r="H273" s="2" t="s">
        <v>565</v>
      </c>
      <c r="I273" s="2">
        <v>261</v>
      </c>
      <c r="J273" s="2">
        <v>1044</v>
      </c>
      <c r="K273" s="2">
        <v>1</v>
      </c>
      <c r="L273" s="2">
        <v>260</v>
      </c>
      <c r="M273" s="2">
        <v>113</v>
      </c>
      <c r="N273" s="2" t="s">
        <v>20</v>
      </c>
      <c r="O273" s="2" t="s">
        <v>17</v>
      </c>
      <c r="P273">
        <f t="shared" si="24"/>
        <v>-3</v>
      </c>
      <c r="Q273">
        <f t="shared" si="25"/>
        <v>0.99616858237547889</v>
      </c>
      <c r="R273">
        <f t="shared" si="26"/>
        <v>-3</v>
      </c>
      <c r="S273">
        <f t="shared" si="27"/>
        <v>1</v>
      </c>
      <c r="T273">
        <f t="shared" si="28"/>
        <v>-2</v>
      </c>
      <c r="U273">
        <f t="shared" si="29"/>
        <v>150.44882114877092</v>
      </c>
    </row>
    <row r="274" spans="1:21" x14ac:dyDescent="0.2">
      <c r="A274" s="3">
        <v>45930</v>
      </c>
      <c r="B274" s="2">
        <v>113984</v>
      </c>
      <c r="C274" s="2" t="s">
        <v>566</v>
      </c>
      <c r="D274" s="2">
        <v>41</v>
      </c>
      <c r="E274" s="2">
        <v>164</v>
      </c>
      <c r="F274" s="2">
        <v>1</v>
      </c>
      <c r="G274" s="2">
        <v>40</v>
      </c>
      <c r="H274" s="2" t="s">
        <v>567</v>
      </c>
      <c r="I274" s="2">
        <v>58</v>
      </c>
      <c r="J274" s="2">
        <v>232</v>
      </c>
      <c r="K274" s="2">
        <v>1</v>
      </c>
      <c r="L274" s="2">
        <v>57</v>
      </c>
      <c r="M274" s="2">
        <v>97</v>
      </c>
      <c r="N274" s="2" t="s">
        <v>17</v>
      </c>
      <c r="O274" s="2" t="s">
        <v>17</v>
      </c>
      <c r="P274">
        <f t="shared" si="24"/>
        <v>0.97560975609756095</v>
      </c>
      <c r="Q274">
        <f t="shared" si="25"/>
        <v>0.98275862068965514</v>
      </c>
      <c r="R274">
        <f t="shared" si="26"/>
        <v>1</v>
      </c>
      <c r="S274">
        <f t="shared" si="27"/>
        <v>1</v>
      </c>
      <c r="T274">
        <f t="shared" si="28"/>
        <v>2</v>
      </c>
      <c r="U274">
        <f t="shared" si="29"/>
        <v>152.44882114877092</v>
      </c>
    </row>
    <row r="275" spans="1:21" x14ac:dyDescent="0.2">
      <c r="A275" s="3">
        <v>45931</v>
      </c>
      <c r="B275" s="2">
        <v>113751.8</v>
      </c>
      <c r="C275" s="2" t="s">
        <v>568</v>
      </c>
      <c r="D275" s="2">
        <v>36</v>
      </c>
      <c r="E275" s="2">
        <v>144</v>
      </c>
      <c r="F275" s="2">
        <v>144</v>
      </c>
      <c r="G275" s="2">
        <v>-108</v>
      </c>
      <c r="H275" s="2" t="s">
        <v>569</v>
      </c>
      <c r="I275" s="2">
        <v>42</v>
      </c>
      <c r="J275" s="2">
        <v>168</v>
      </c>
      <c r="K275" s="2">
        <v>1</v>
      </c>
      <c r="L275" s="2">
        <v>41</v>
      </c>
      <c r="M275" s="2">
        <v>-67</v>
      </c>
      <c r="N275" s="2" t="s">
        <v>20</v>
      </c>
      <c r="O275" s="2" t="s">
        <v>17</v>
      </c>
      <c r="P275">
        <f t="shared" si="24"/>
        <v>-3</v>
      </c>
      <c r="Q275">
        <f t="shared" si="25"/>
        <v>0.97619047619047616</v>
      </c>
      <c r="R275">
        <f t="shared" si="26"/>
        <v>-3</v>
      </c>
      <c r="S275">
        <f t="shared" si="27"/>
        <v>1</v>
      </c>
      <c r="T275">
        <f t="shared" si="28"/>
        <v>-2</v>
      </c>
      <c r="U275">
        <f t="shared" si="29"/>
        <v>150.44882114877092</v>
      </c>
    </row>
    <row r="276" spans="1:21" x14ac:dyDescent="0.2">
      <c r="A276" s="3">
        <v>45932</v>
      </c>
      <c r="B276" s="2">
        <v>117212.2</v>
      </c>
      <c r="C276" s="2" t="s">
        <v>570</v>
      </c>
      <c r="D276" s="2">
        <v>38</v>
      </c>
      <c r="E276" s="2">
        <v>152</v>
      </c>
      <c r="F276" s="2">
        <v>152</v>
      </c>
      <c r="G276" s="2">
        <v>-114</v>
      </c>
      <c r="H276" s="2" t="s">
        <v>571</v>
      </c>
      <c r="I276" s="2">
        <v>38</v>
      </c>
      <c r="J276" s="2">
        <v>152</v>
      </c>
      <c r="K276" s="2">
        <v>1</v>
      </c>
      <c r="L276" s="2">
        <v>37</v>
      </c>
      <c r="M276" s="2">
        <v>-77</v>
      </c>
      <c r="N276" s="2" t="s">
        <v>20</v>
      </c>
      <c r="O276" s="2" t="s">
        <v>17</v>
      </c>
      <c r="P276">
        <f t="shared" si="24"/>
        <v>-3</v>
      </c>
      <c r="Q276">
        <f t="shared" si="25"/>
        <v>0.97368421052631582</v>
      </c>
      <c r="R276">
        <f t="shared" si="26"/>
        <v>-3</v>
      </c>
      <c r="S276">
        <f t="shared" si="27"/>
        <v>1</v>
      </c>
      <c r="T276">
        <f t="shared" si="28"/>
        <v>-2</v>
      </c>
      <c r="U276">
        <f t="shared" si="29"/>
        <v>148.44882114877092</v>
      </c>
    </row>
    <row r="277" spans="1:21" x14ac:dyDescent="0.2">
      <c r="A277" s="3">
        <v>45933</v>
      </c>
      <c r="B277" s="2">
        <v>120491.6</v>
      </c>
      <c r="C277" s="2" t="s">
        <v>572</v>
      </c>
      <c r="D277" s="2">
        <v>38</v>
      </c>
      <c r="E277" s="2">
        <v>152</v>
      </c>
      <c r="F277" s="2">
        <v>1</v>
      </c>
      <c r="G277" s="2">
        <v>37</v>
      </c>
      <c r="H277" s="2" t="s">
        <v>573</v>
      </c>
      <c r="I277" s="2">
        <v>32</v>
      </c>
      <c r="J277" s="2">
        <v>128</v>
      </c>
      <c r="K277" s="2">
        <v>1</v>
      </c>
      <c r="L277" s="2">
        <v>31</v>
      </c>
      <c r="M277" s="2">
        <v>68</v>
      </c>
      <c r="N277" s="2" t="s">
        <v>17</v>
      </c>
      <c r="O277" s="2" t="s">
        <v>17</v>
      </c>
      <c r="P277">
        <f t="shared" si="24"/>
        <v>0.97368421052631582</v>
      </c>
      <c r="Q277">
        <f t="shared" si="25"/>
        <v>0.96875</v>
      </c>
      <c r="R277">
        <f t="shared" si="26"/>
        <v>1</v>
      </c>
      <c r="S277">
        <f t="shared" si="27"/>
        <v>1</v>
      </c>
      <c r="T277">
        <f t="shared" si="28"/>
        <v>2</v>
      </c>
      <c r="U277">
        <f t="shared" si="29"/>
        <v>150.44882114877092</v>
      </c>
    </row>
    <row r="278" spans="1:21" x14ac:dyDescent="0.2">
      <c r="A278" s="3">
        <v>45934</v>
      </c>
      <c r="B278" s="2">
        <v>122524.3</v>
      </c>
      <c r="C278" s="2" t="s">
        <v>574</v>
      </c>
      <c r="D278" s="2">
        <v>143</v>
      </c>
      <c r="E278" s="2">
        <v>572</v>
      </c>
      <c r="F278" s="2">
        <v>1</v>
      </c>
      <c r="G278" s="2">
        <v>142</v>
      </c>
      <c r="H278" s="2" t="s">
        <v>575</v>
      </c>
      <c r="I278" s="2">
        <v>50</v>
      </c>
      <c r="J278" s="2">
        <v>200</v>
      </c>
      <c r="K278" s="2">
        <v>1</v>
      </c>
      <c r="L278" s="2">
        <v>49</v>
      </c>
      <c r="M278" s="2">
        <v>191</v>
      </c>
      <c r="N278" s="2" t="s">
        <v>17</v>
      </c>
      <c r="O278" s="2" t="s">
        <v>17</v>
      </c>
      <c r="P278">
        <f t="shared" si="24"/>
        <v>0.99300699300699302</v>
      </c>
      <c r="Q278">
        <f t="shared" si="25"/>
        <v>0.98</v>
      </c>
      <c r="R278">
        <f t="shared" si="26"/>
        <v>1</v>
      </c>
      <c r="S278">
        <f t="shared" si="27"/>
        <v>1</v>
      </c>
      <c r="T278">
        <f t="shared" si="28"/>
        <v>2</v>
      </c>
      <c r="U278">
        <f t="shared" si="29"/>
        <v>152.44882114877092</v>
      </c>
    </row>
    <row r="279" spans="1:21" x14ac:dyDescent="0.2">
      <c r="A279" s="3">
        <v>45935</v>
      </c>
      <c r="B279" s="2">
        <v>121613.2</v>
      </c>
      <c r="C279" s="2" t="s">
        <v>576</v>
      </c>
      <c r="D279" s="2">
        <v>66</v>
      </c>
      <c r="E279" s="2">
        <v>264</v>
      </c>
      <c r="F279" s="2">
        <v>264</v>
      </c>
      <c r="G279" s="2">
        <v>-198</v>
      </c>
      <c r="H279" s="2" t="s">
        <v>577</v>
      </c>
      <c r="I279" s="2">
        <v>35</v>
      </c>
      <c r="J279" s="2">
        <v>140</v>
      </c>
      <c r="K279" s="2">
        <v>1</v>
      </c>
      <c r="L279" s="2">
        <v>34</v>
      </c>
      <c r="M279" s="2">
        <v>-164</v>
      </c>
      <c r="N279" s="2" t="s">
        <v>20</v>
      </c>
      <c r="O279" s="2" t="s">
        <v>17</v>
      </c>
      <c r="P279">
        <f t="shared" si="24"/>
        <v>-3</v>
      </c>
      <c r="Q279">
        <f t="shared" si="25"/>
        <v>0.97142857142857142</v>
      </c>
      <c r="R279">
        <f t="shared" si="26"/>
        <v>-3</v>
      </c>
      <c r="S279">
        <f t="shared" si="27"/>
        <v>1</v>
      </c>
      <c r="T279">
        <f t="shared" si="28"/>
        <v>-2</v>
      </c>
      <c r="U279">
        <f t="shared" si="29"/>
        <v>150.44882114877092</v>
      </c>
    </row>
    <row r="280" spans="1:21" x14ac:dyDescent="0.2">
      <c r="A280" s="3">
        <v>45936</v>
      </c>
      <c r="B280" s="2">
        <v>123010.5</v>
      </c>
      <c r="C280" s="2" t="s">
        <v>578</v>
      </c>
      <c r="D280" s="2">
        <v>36</v>
      </c>
      <c r="E280" s="2">
        <v>144</v>
      </c>
      <c r="F280" s="2">
        <v>1</v>
      </c>
      <c r="G280" s="2">
        <v>35</v>
      </c>
      <c r="H280" s="2" t="s">
        <v>579</v>
      </c>
      <c r="I280" s="2">
        <v>80</v>
      </c>
      <c r="J280" s="2">
        <v>320</v>
      </c>
      <c r="K280" s="2">
        <v>1</v>
      </c>
      <c r="L280" s="2">
        <v>79</v>
      </c>
      <c r="M280" s="2">
        <v>114</v>
      </c>
      <c r="N280" s="2" t="s">
        <v>17</v>
      </c>
      <c r="O280" s="2" t="s">
        <v>17</v>
      </c>
      <c r="P280">
        <f t="shared" si="24"/>
        <v>0.97222222222222221</v>
      </c>
      <c r="Q280">
        <f t="shared" si="25"/>
        <v>0.98750000000000004</v>
      </c>
      <c r="R280">
        <f t="shared" si="26"/>
        <v>1</v>
      </c>
      <c r="S280">
        <f t="shared" si="27"/>
        <v>1</v>
      </c>
      <c r="T280">
        <f t="shared" si="28"/>
        <v>2</v>
      </c>
      <c r="U280">
        <f t="shared" si="29"/>
        <v>152.44882114877092</v>
      </c>
    </row>
    <row r="281" spans="1:21" x14ac:dyDescent="0.2">
      <c r="A281" s="3">
        <v>45937</v>
      </c>
      <c r="B281" s="2">
        <v>126092.4</v>
      </c>
      <c r="C281" s="2" t="s">
        <v>580</v>
      </c>
      <c r="D281" s="2">
        <v>60</v>
      </c>
      <c r="E281" s="2">
        <v>240</v>
      </c>
      <c r="F281" s="2">
        <v>1</v>
      </c>
      <c r="G281" s="2">
        <v>59</v>
      </c>
      <c r="H281" s="2" t="s">
        <v>581</v>
      </c>
      <c r="I281" s="2">
        <v>31</v>
      </c>
      <c r="J281" s="2">
        <v>124</v>
      </c>
      <c r="K281" s="2">
        <v>1</v>
      </c>
      <c r="L281" s="2">
        <v>30</v>
      </c>
      <c r="M281" s="2">
        <v>89</v>
      </c>
      <c r="N281" s="2" t="s">
        <v>17</v>
      </c>
      <c r="O281" s="2" t="s">
        <v>17</v>
      </c>
      <c r="P281">
        <f t="shared" si="24"/>
        <v>0.98333333333333328</v>
      </c>
      <c r="Q281">
        <f t="shared" si="25"/>
        <v>0.967741935483871</v>
      </c>
      <c r="R281">
        <f t="shared" si="26"/>
        <v>1</v>
      </c>
      <c r="S281">
        <f t="shared" si="27"/>
        <v>1</v>
      </c>
      <c r="T281">
        <f t="shared" si="28"/>
        <v>2</v>
      </c>
      <c r="U281">
        <f t="shared" si="29"/>
        <v>154.44882114877092</v>
      </c>
    </row>
    <row r="282" spans="1:21" x14ac:dyDescent="0.2">
      <c r="A282" s="3">
        <v>45938</v>
      </c>
      <c r="B282" s="2">
        <v>121055.4</v>
      </c>
      <c r="C282" s="2" t="s">
        <v>582</v>
      </c>
      <c r="D282" s="2">
        <v>32</v>
      </c>
      <c r="E282" s="2">
        <v>128</v>
      </c>
      <c r="F282" s="2">
        <v>1</v>
      </c>
      <c r="G282" s="2">
        <v>31</v>
      </c>
      <c r="H282" s="2" t="s">
        <v>583</v>
      </c>
      <c r="I282" s="2">
        <v>125</v>
      </c>
      <c r="J282" s="2">
        <v>500</v>
      </c>
      <c r="K282" s="2">
        <v>1</v>
      </c>
      <c r="L282" s="2">
        <v>124</v>
      </c>
      <c r="M282" s="2">
        <v>155</v>
      </c>
      <c r="N282" s="2" t="s">
        <v>17</v>
      </c>
      <c r="O282" s="2" t="s">
        <v>17</v>
      </c>
      <c r="P282">
        <f t="shared" si="24"/>
        <v>0.96875</v>
      </c>
      <c r="Q282">
        <f t="shared" si="25"/>
        <v>0.99199999999999999</v>
      </c>
      <c r="R282">
        <f t="shared" si="26"/>
        <v>1</v>
      </c>
      <c r="S282">
        <f t="shared" si="27"/>
        <v>1</v>
      </c>
      <c r="T282">
        <f t="shared" si="28"/>
        <v>2</v>
      </c>
      <c r="U282">
        <f t="shared" si="29"/>
        <v>156.44882114877092</v>
      </c>
    </row>
    <row r="283" spans="1:21" x14ac:dyDescent="0.2">
      <c r="A283" s="3">
        <v>45939</v>
      </c>
      <c r="B283" s="2">
        <v>123385.9</v>
      </c>
      <c r="C283" s="2" t="s">
        <v>584</v>
      </c>
      <c r="D283" s="2">
        <v>45</v>
      </c>
      <c r="E283" s="2">
        <v>180</v>
      </c>
      <c r="F283" s="2">
        <v>1</v>
      </c>
      <c r="G283" s="2">
        <v>44</v>
      </c>
      <c r="H283" s="2" t="s">
        <v>585</v>
      </c>
      <c r="I283" s="2">
        <v>39</v>
      </c>
      <c r="J283" s="2">
        <v>156</v>
      </c>
      <c r="K283" s="2">
        <v>1</v>
      </c>
      <c r="L283" s="2">
        <v>38</v>
      </c>
      <c r="M283" s="2">
        <v>82</v>
      </c>
      <c r="N283" s="2" t="s">
        <v>17</v>
      </c>
      <c r="O283" s="2" t="s">
        <v>17</v>
      </c>
      <c r="P283">
        <f t="shared" si="24"/>
        <v>0.97777777777777775</v>
      </c>
      <c r="Q283">
        <f t="shared" si="25"/>
        <v>0.97435897435897434</v>
      </c>
      <c r="R283">
        <f t="shared" si="26"/>
        <v>1</v>
      </c>
      <c r="S283">
        <f t="shared" si="27"/>
        <v>1</v>
      </c>
      <c r="T283">
        <f t="shared" si="28"/>
        <v>2</v>
      </c>
      <c r="U283">
        <f t="shared" si="29"/>
        <v>158.44882114877092</v>
      </c>
    </row>
    <row r="284" spans="1:21" x14ac:dyDescent="0.2">
      <c r="A284" s="3">
        <v>45940</v>
      </c>
      <c r="B284" s="2">
        <v>120760.8</v>
      </c>
      <c r="C284" s="2" t="s">
        <v>586</v>
      </c>
      <c r="D284" s="2">
        <v>39</v>
      </c>
      <c r="E284" s="2">
        <v>156</v>
      </c>
      <c r="F284" s="2">
        <v>1</v>
      </c>
      <c r="G284" s="2">
        <v>38</v>
      </c>
      <c r="H284" s="2" t="s">
        <v>587</v>
      </c>
      <c r="I284" s="2">
        <v>34</v>
      </c>
      <c r="J284" s="2">
        <v>136</v>
      </c>
      <c r="K284" s="2">
        <v>136</v>
      </c>
      <c r="L284" s="2">
        <v>-102</v>
      </c>
      <c r="M284" s="2">
        <v>-64</v>
      </c>
      <c r="N284" s="2" t="s">
        <v>17</v>
      </c>
      <c r="O284" s="2" t="s">
        <v>20</v>
      </c>
      <c r="P284">
        <f t="shared" si="24"/>
        <v>0.97435897435897434</v>
      </c>
      <c r="Q284">
        <f t="shared" si="25"/>
        <v>-3</v>
      </c>
      <c r="R284">
        <f t="shared" si="26"/>
        <v>1</v>
      </c>
      <c r="S284">
        <f t="shared" si="27"/>
        <v>-3</v>
      </c>
      <c r="T284">
        <f t="shared" si="28"/>
        <v>-2</v>
      </c>
      <c r="U284">
        <f t="shared" si="29"/>
        <v>156.44882114877092</v>
      </c>
    </row>
    <row r="285" spans="1:21" x14ac:dyDescent="0.2">
      <c r="A285" s="3">
        <v>45941</v>
      </c>
      <c r="B285" s="2">
        <v>117294.1</v>
      </c>
      <c r="C285" s="2" t="s">
        <v>588</v>
      </c>
      <c r="D285" s="2">
        <v>33</v>
      </c>
      <c r="E285" s="2">
        <v>132</v>
      </c>
      <c r="F285" s="2">
        <v>1</v>
      </c>
      <c r="G285" s="2">
        <v>32</v>
      </c>
      <c r="H285" s="2" t="s">
        <v>589</v>
      </c>
      <c r="I285" s="2">
        <v>230</v>
      </c>
      <c r="J285" s="2">
        <v>920</v>
      </c>
      <c r="K285" s="2">
        <v>920</v>
      </c>
      <c r="L285" s="2">
        <v>-690</v>
      </c>
      <c r="M285" s="2">
        <v>-658</v>
      </c>
      <c r="N285" s="2" t="s">
        <v>17</v>
      </c>
      <c r="O285" s="2" t="s">
        <v>20</v>
      </c>
      <c r="P285">
        <f t="shared" si="24"/>
        <v>0.96969696969696972</v>
      </c>
      <c r="Q285">
        <f t="shared" si="25"/>
        <v>-3</v>
      </c>
      <c r="R285">
        <f t="shared" si="26"/>
        <v>1</v>
      </c>
      <c r="S285">
        <f t="shared" si="27"/>
        <v>-3</v>
      </c>
      <c r="T285">
        <f t="shared" si="28"/>
        <v>-2</v>
      </c>
      <c r="U285">
        <f t="shared" si="29"/>
        <v>154.44882114877092</v>
      </c>
    </row>
    <row r="286" spans="1:21" x14ac:dyDescent="0.2">
      <c r="A286" s="3">
        <v>45942</v>
      </c>
      <c r="B286" s="2">
        <v>111942.9</v>
      </c>
      <c r="C286" s="2" t="s">
        <v>590</v>
      </c>
      <c r="D286" s="2">
        <v>152</v>
      </c>
      <c r="E286" s="2">
        <v>608</v>
      </c>
      <c r="F286" s="2">
        <v>1</v>
      </c>
      <c r="G286" s="2">
        <v>151</v>
      </c>
      <c r="H286" s="2" t="s">
        <v>591</v>
      </c>
      <c r="I286" s="2">
        <v>32</v>
      </c>
      <c r="J286" s="2">
        <v>128</v>
      </c>
      <c r="K286" s="2">
        <v>128</v>
      </c>
      <c r="L286" s="2">
        <v>-96</v>
      </c>
      <c r="M286" s="2">
        <v>55</v>
      </c>
      <c r="N286" s="2" t="s">
        <v>17</v>
      </c>
      <c r="O286" s="2" t="s">
        <v>20</v>
      </c>
      <c r="P286">
        <f t="shared" si="24"/>
        <v>0.99342105263157898</v>
      </c>
      <c r="Q286">
        <f t="shared" si="25"/>
        <v>-3</v>
      </c>
      <c r="R286">
        <f t="shared" si="26"/>
        <v>1</v>
      </c>
      <c r="S286">
        <f t="shared" si="27"/>
        <v>-3</v>
      </c>
      <c r="T286">
        <f t="shared" si="28"/>
        <v>-2</v>
      </c>
      <c r="U286">
        <f t="shared" si="29"/>
        <v>152.44882114877092</v>
      </c>
    </row>
    <row r="287" spans="1:21" x14ac:dyDescent="0.2">
      <c r="A287" s="3">
        <v>45943</v>
      </c>
      <c r="B287" s="2">
        <v>113902.8</v>
      </c>
      <c r="C287" s="2" t="s">
        <v>592</v>
      </c>
      <c r="D287" s="2">
        <v>41</v>
      </c>
      <c r="E287" s="2">
        <v>164</v>
      </c>
      <c r="F287" s="2">
        <v>1</v>
      </c>
      <c r="G287" s="2">
        <v>40</v>
      </c>
      <c r="H287" s="2" t="s">
        <v>593</v>
      </c>
      <c r="I287" s="2">
        <v>39</v>
      </c>
      <c r="J287" s="2">
        <v>156</v>
      </c>
      <c r="K287" s="2">
        <v>1</v>
      </c>
      <c r="L287" s="2">
        <v>38</v>
      </c>
      <c r="M287" s="2">
        <v>78</v>
      </c>
      <c r="N287" s="2" t="s">
        <v>17</v>
      </c>
      <c r="O287" s="2" t="s">
        <v>17</v>
      </c>
      <c r="P287">
        <f t="shared" si="24"/>
        <v>0.97560975609756095</v>
      </c>
      <c r="Q287">
        <f t="shared" si="25"/>
        <v>0.97435897435897434</v>
      </c>
      <c r="R287">
        <f t="shared" si="26"/>
        <v>1</v>
      </c>
      <c r="S287">
        <f t="shared" si="27"/>
        <v>1</v>
      </c>
      <c r="T287">
        <f t="shared" si="28"/>
        <v>2</v>
      </c>
      <c r="U287">
        <f t="shared" si="29"/>
        <v>154.44882114877092</v>
      </c>
    </row>
    <row r="288" spans="1:21" x14ac:dyDescent="0.2">
      <c r="A288" s="3">
        <v>45944</v>
      </c>
      <c r="B288" s="2">
        <v>115160.2</v>
      </c>
      <c r="C288" s="2" t="s">
        <v>594</v>
      </c>
      <c r="D288" s="2">
        <v>34</v>
      </c>
      <c r="E288" s="2">
        <v>136</v>
      </c>
      <c r="F288" s="2">
        <v>1</v>
      </c>
      <c r="G288" s="2">
        <v>33</v>
      </c>
      <c r="H288" s="2" t="s">
        <v>595</v>
      </c>
      <c r="I288" s="2">
        <v>47</v>
      </c>
      <c r="J288" s="2">
        <v>188</v>
      </c>
      <c r="K288" s="2">
        <v>188</v>
      </c>
      <c r="L288" s="2">
        <v>-141</v>
      </c>
      <c r="M288" s="2">
        <v>-108</v>
      </c>
      <c r="N288" s="2" t="s">
        <v>17</v>
      </c>
      <c r="O288" s="2" t="s">
        <v>20</v>
      </c>
      <c r="P288">
        <f t="shared" si="24"/>
        <v>0.97058823529411764</v>
      </c>
      <c r="Q288">
        <f t="shared" si="25"/>
        <v>-3</v>
      </c>
      <c r="R288">
        <f t="shared" si="26"/>
        <v>1</v>
      </c>
      <c r="S288">
        <f t="shared" si="27"/>
        <v>-3</v>
      </c>
      <c r="T288">
        <f t="shared" si="28"/>
        <v>-2</v>
      </c>
      <c r="U288">
        <f t="shared" si="29"/>
        <v>152.44882114877092</v>
      </c>
    </row>
    <row r="289" spans="1:21" x14ac:dyDescent="0.2">
      <c r="A289" s="3">
        <v>45945</v>
      </c>
      <c r="B289" s="2">
        <v>112948.8</v>
      </c>
      <c r="C289" s="2" t="s">
        <v>596</v>
      </c>
      <c r="D289" s="2">
        <v>84</v>
      </c>
      <c r="E289" s="2">
        <v>336</v>
      </c>
      <c r="F289" s="2">
        <v>1</v>
      </c>
      <c r="G289" s="2">
        <v>83</v>
      </c>
      <c r="H289" s="2" t="s">
        <v>597</v>
      </c>
      <c r="I289" s="2">
        <v>173</v>
      </c>
      <c r="J289" s="2">
        <v>692</v>
      </c>
      <c r="K289" s="2">
        <v>1</v>
      </c>
      <c r="L289" s="2">
        <v>172</v>
      </c>
      <c r="M289" s="2">
        <v>255</v>
      </c>
      <c r="N289" s="2" t="s">
        <v>17</v>
      </c>
      <c r="O289" s="2" t="s">
        <v>17</v>
      </c>
      <c r="P289">
        <f t="shared" si="24"/>
        <v>0.98809523809523814</v>
      </c>
      <c r="Q289">
        <f t="shared" si="25"/>
        <v>0.9942196531791907</v>
      </c>
      <c r="R289">
        <f t="shared" si="26"/>
        <v>1</v>
      </c>
      <c r="S289">
        <f t="shared" si="27"/>
        <v>1</v>
      </c>
      <c r="T289">
        <f t="shared" si="28"/>
        <v>2</v>
      </c>
      <c r="U289">
        <f t="shared" si="29"/>
        <v>154.44882114877092</v>
      </c>
    </row>
    <row r="290" spans="1:21" x14ac:dyDescent="0.2">
      <c r="A290" s="3">
        <v>45946</v>
      </c>
      <c r="B290" s="2">
        <v>111341.4</v>
      </c>
      <c r="C290" s="2" t="s">
        <v>598</v>
      </c>
      <c r="D290" s="2">
        <v>34</v>
      </c>
      <c r="E290" s="2">
        <v>136</v>
      </c>
      <c r="F290" s="2">
        <v>1</v>
      </c>
      <c r="G290" s="2">
        <v>33</v>
      </c>
      <c r="H290" s="2" t="s">
        <v>599</v>
      </c>
      <c r="I290" s="2">
        <v>64</v>
      </c>
      <c r="J290" s="2">
        <v>256</v>
      </c>
      <c r="K290" s="2">
        <v>1</v>
      </c>
      <c r="L290" s="2">
        <v>63</v>
      </c>
      <c r="M290" s="2">
        <v>96</v>
      </c>
      <c r="N290" s="2" t="s">
        <v>17</v>
      </c>
      <c r="O290" s="2" t="s">
        <v>17</v>
      </c>
      <c r="P290">
        <f t="shared" si="24"/>
        <v>0.97058823529411764</v>
      </c>
      <c r="Q290">
        <f t="shared" si="25"/>
        <v>0.984375</v>
      </c>
      <c r="R290">
        <f t="shared" si="26"/>
        <v>1</v>
      </c>
      <c r="S290">
        <f t="shared" si="27"/>
        <v>1</v>
      </c>
      <c r="T290">
        <f t="shared" si="28"/>
        <v>2</v>
      </c>
      <c r="U290">
        <f t="shared" si="29"/>
        <v>156.44882114877092</v>
      </c>
    </row>
    <row r="291" spans="1:21" x14ac:dyDescent="0.2">
      <c r="A291" s="3">
        <v>45947</v>
      </c>
      <c r="B291" s="2">
        <v>108535.5</v>
      </c>
      <c r="C291" s="2" t="s">
        <v>600</v>
      </c>
      <c r="D291" s="2">
        <v>39</v>
      </c>
      <c r="E291" s="2">
        <v>156</v>
      </c>
      <c r="F291" s="2">
        <v>1</v>
      </c>
      <c r="G291" s="2">
        <v>38</v>
      </c>
      <c r="H291" s="2" t="s">
        <v>601</v>
      </c>
      <c r="I291" s="2">
        <v>177</v>
      </c>
      <c r="J291" s="2">
        <v>708</v>
      </c>
      <c r="K291" s="2">
        <v>708</v>
      </c>
      <c r="L291" s="2">
        <v>-531</v>
      </c>
      <c r="M291" s="2">
        <v>-493</v>
      </c>
      <c r="N291" s="2" t="s">
        <v>17</v>
      </c>
      <c r="O291" s="2" t="s">
        <v>20</v>
      </c>
      <c r="P291">
        <f t="shared" si="24"/>
        <v>0.97435897435897434</v>
      </c>
      <c r="Q291">
        <f t="shared" si="25"/>
        <v>-3</v>
      </c>
      <c r="R291">
        <f t="shared" si="26"/>
        <v>1</v>
      </c>
      <c r="S291">
        <f t="shared" si="27"/>
        <v>-3</v>
      </c>
      <c r="T291">
        <f t="shared" si="28"/>
        <v>-2</v>
      </c>
      <c r="U291">
        <f t="shared" si="29"/>
        <v>154.44882114877092</v>
      </c>
    </row>
    <row r="292" spans="1:21" x14ac:dyDescent="0.2">
      <c r="A292" s="3">
        <v>45948</v>
      </c>
      <c r="B292" s="2">
        <v>106654.2</v>
      </c>
      <c r="C292" s="2" t="s">
        <v>602</v>
      </c>
      <c r="D292" s="2">
        <v>80</v>
      </c>
      <c r="E292" s="2">
        <v>320</v>
      </c>
      <c r="F292" s="2">
        <v>1</v>
      </c>
      <c r="G292" s="2">
        <v>79</v>
      </c>
      <c r="H292" s="2" t="s">
        <v>603</v>
      </c>
      <c r="I292" s="2">
        <v>92</v>
      </c>
      <c r="J292" s="2">
        <v>368</v>
      </c>
      <c r="K292" s="2">
        <v>1</v>
      </c>
      <c r="L292" s="2">
        <v>91</v>
      </c>
      <c r="M292" s="2">
        <v>170</v>
      </c>
      <c r="N292" s="2" t="s">
        <v>17</v>
      </c>
      <c r="O292" s="2" t="s">
        <v>17</v>
      </c>
      <c r="P292">
        <f t="shared" si="24"/>
        <v>0.98750000000000004</v>
      </c>
      <c r="Q292">
        <f t="shared" si="25"/>
        <v>0.98913043478260865</v>
      </c>
      <c r="R292">
        <f t="shared" si="26"/>
        <v>1</v>
      </c>
      <c r="S292">
        <f t="shared" si="27"/>
        <v>1</v>
      </c>
      <c r="T292">
        <f t="shared" si="28"/>
        <v>2</v>
      </c>
      <c r="U292">
        <f t="shared" si="29"/>
        <v>156.44882114877092</v>
      </c>
    </row>
    <row r="293" spans="1:21" x14ac:dyDescent="0.2">
      <c r="A293" s="3">
        <v>45949</v>
      </c>
      <c r="B293" s="2">
        <v>106845.2</v>
      </c>
      <c r="C293" s="2" t="s">
        <v>604</v>
      </c>
      <c r="D293" s="2">
        <v>190</v>
      </c>
      <c r="E293" s="2">
        <v>760</v>
      </c>
      <c r="F293" s="2">
        <v>760</v>
      </c>
      <c r="G293" s="2">
        <v>-570</v>
      </c>
      <c r="H293" s="2" t="s">
        <v>605</v>
      </c>
      <c r="I293" s="2">
        <v>67</v>
      </c>
      <c r="J293" s="2">
        <v>268</v>
      </c>
      <c r="K293" s="2">
        <v>1</v>
      </c>
      <c r="L293" s="2">
        <v>66</v>
      </c>
      <c r="M293" s="2">
        <v>-504</v>
      </c>
      <c r="N293" s="2" t="s">
        <v>20</v>
      </c>
      <c r="O293" s="2" t="s">
        <v>17</v>
      </c>
      <c r="P293">
        <f t="shared" si="24"/>
        <v>-3</v>
      </c>
      <c r="Q293">
        <f t="shared" si="25"/>
        <v>0.9850746268656716</v>
      </c>
      <c r="R293">
        <f t="shared" si="26"/>
        <v>-3</v>
      </c>
      <c r="S293">
        <f t="shared" si="27"/>
        <v>1</v>
      </c>
      <c r="T293">
        <f t="shared" si="28"/>
        <v>-2</v>
      </c>
      <c r="U293">
        <f t="shared" si="29"/>
        <v>154.44882114877092</v>
      </c>
    </row>
    <row r="294" spans="1:21" x14ac:dyDescent="0.2">
      <c r="A294" s="3">
        <v>45950</v>
      </c>
      <c r="B294" s="2">
        <v>109254.3</v>
      </c>
      <c r="C294" s="2" t="s">
        <v>606</v>
      </c>
      <c r="D294" s="2">
        <v>221</v>
      </c>
      <c r="E294" s="2">
        <v>884</v>
      </c>
      <c r="F294" s="2">
        <v>884</v>
      </c>
      <c r="G294" s="2">
        <v>-663</v>
      </c>
      <c r="H294" s="2" t="s">
        <v>607</v>
      </c>
      <c r="I294" s="2">
        <v>43</v>
      </c>
      <c r="J294" s="2">
        <v>172</v>
      </c>
      <c r="K294" s="2">
        <v>172</v>
      </c>
      <c r="L294" s="2">
        <v>-129</v>
      </c>
      <c r="M294" s="2">
        <v>-792</v>
      </c>
      <c r="N294" s="2" t="s">
        <v>20</v>
      </c>
      <c r="O294" s="2" t="s">
        <v>20</v>
      </c>
      <c r="P294">
        <f t="shared" si="24"/>
        <v>-3</v>
      </c>
      <c r="Q294">
        <f t="shared" si="25"/>
        <v>-3</v>
      </c>
      <c r="R294">
        <f t="shared" si="26"/>
        <v>-3</v>
      </c>
      <c r="S294">
        <f t="shared" si="27"/>
        <v>-3</v>
      </c>
      <c r="T294">
        <f t="shared" si="28"/>
        <v>-6</v>
      </c>
      <c r="U294">
        <f t="shared" si="29"/>
        <v>148.44882114877092</v>
      </c>
    </row>
    <row r="295" spans="1:21" x14ac:dyDescent="0.2">
      <c r="A295" s="3">
        <v>45951</v>
      </c>
      <c r="B295" s="2">
        <v>110914.6</v>
      </c>
      <c r="C295" s="2" t="s">
        <v>608</v>
      </c>
      <c r="D295" s="2">
        <v>65</v>
      </c>
      <c r="E295" s="2">
        <v>260</v>
      </c>
      <c r="F295" s="2">
        <v>1</v>
      </c>
      <c r="G295" s="2">
        <v>64</v>
      </c>
      <c r="H295" s="2" t="s">
        <v>609</v>
      </c>
      <c r="I295" s="2">
        <v>48</v>
      </c>
      <c r="J295" s="2">
        <v>192</v>
      </c>
      <c r="K295" s="2">
        <v>192</v>
      </c>
      <c r="L295" s="2">
        <v>-144</v>
      </c>
      <c r="M295" s="2">
        <v>-80</v>
      </c>
      <c r="N295" s="2" t="s">
        <v>17</v>
      </c>
      <c r="O295" s="2" t="s">
        <v>20</v>
      </c>
      <c r="P295">
        <f t="shared" si="24"/>
        <v>0.98461538461538467</v>
      </c>
      <c r="Q295">
        <f t="shared" si="25"/>
        <v>-3</v>
      </c>
      <c r="R295">
        <f t="shared" si="26"/>
        <v>1</v>
      </c>
      <c r="S295">
        <f t="shared" si="27"/>
        <v>-3</v>
      </c>
      <c r="T295">
        <f t="shared" si="28"/>
        <v>-2</v>
      </c>
      <c r="U295">
        <f t="shared" si="29"/>
        <v>146.44882114877092</v>
      </c>
    </row>
    <row r="296" spans="1:21" x14ac:dyDescent="0.2">
      <c r="A296" s="3">
        <v>45952</v>
      </c>
      <c r="B296" s="2">
        <v>111947.7</v>
      </c>
      <c r="C296" s="2" t="s">
        <v>610</v>
      </c>
      <c r="D296" s="2">
        <v>46</v>
      </c>
      <c r="E296" s="2">
        <v>184</v>
      </c>
      <c r="F296" s="2">
        <v>1</v>
      </c>
      <c r="G296" s="2">
        <v>45</v>
      </c>
      <c r="H296" s="2" t="s">
        <v>611</v>
      </c>
      <c r="I296" s="2">
        <v>40</v>
      </c>
      <c r="J296" s="2">
        <v>160</v>
      </c>
      <c r="K296" s="2">
        <v>160</v>
      </c>
      <c r="L296" s="2">
        <v>-120</v>
      </c>
      <c r="M296" s="2">
        <v>-75</v>
      </c>
      <c r="N296" s="2" t="s">
        <v>17</v>
      </c>
      <c r="O296" s="2" t="s">
        <v>20</v>
      </c>
      <c r="P296">
        <f t="shared" si="24"/>
        <v>0.97826086956521741</v>
      </c>
      <c r="Q296">
        <f t="shared" si="25"/>
        <v>-3</v>
      </c>
      <c r="R296">
        <f t="shared" si="26"/>
        <v>1</v>
      </c>
      <c r="S296">
        <f t="shared" si="27"/>
        <v>-3</v>
      </c>
      <c r="T296">
        <f t="shared" si="28"/>
        <v>-2</v>
      </c>
      <c r="U296">
        <f t="shared" si="29"/>
        <v>144.44882114877092</v>
      </c>
    </row>
    <row r="297" spans="1:21" x14ac:dyDescent="0.2">
      <c r="A297" s="3">
        <v>45953</v>
      </c>
      <c r="B297" s="2">
        <v>108036.2</v>
      </c>
      <c r="C297" s="2" t="s">
        <v>612</v>
      </c>
      <c r="D297" s="2">
        <v>198</v>
      </c>
      <c r="E297" s="2">
        <v>792</v>
      </c>
      <c r="F297" s="2">
        <v>1</v>
      </c>
      <c r="G297" s="2">
        <v>197</v>
      </c>
      <c r="H297" s="2" t="s">
        <v>613</v>
      </c>
      <c r="I297" s="2">
        <v>57</v>
      </c>
      <c r="J297" s="2">
        <v>228</v>
      </c>
      <c r="K297" s="2">
        <v>1</v>
      </c>
      <c r="L297" s="2">
        <v>56</v>
      </c>
      <c r="M297" s="2">
        <v>253</v>
      </c>
      <c r="N297" s="2" t="s">
        <v>17</v>
      </c>
      <c r="O297" s="2" t="s">
        <v>17</v>
      </c>
      <c r="P297">
        <f t="shared" si="24"/>
        <v>0.99494949494949492</v>
      </c>
      <c r="Q297">
        <f t="shared" si="25"/>
        <v>0.98245614035087714</v>
      </c>
      <c r="R297">
        <f t="shared" si="26"/>
        <v>1</v>
      </c>
      <c r="S297">
        <f t="shared" si="27"/>
        <v>1</v>
      </c>
      <c r="T297">
        <f t="shared" si="28"/>
        <v>2</v>
      </c>
      <c r="U297">
        <f t="shared" si="29"/>
        <v>146.44882114877092</v>
      </c>
    </row>
    <row r="298" spans="1:21" x14ac:dyDescent="0.2">
      <c r="A298" s="3">
        <v>45954</v>
      </c>
      <c r="B298" s="2">
        <v>110526</v>
      </c>
      <c r="C298" s="2" t="s">
        <v>614</v>
      </c>
      <c r="D298" s="2">
        <v>206</v>
      </c>
      <c r="E298" s="2">
        <v>824</v>
      </c>
      <c r="F298" s="2">
        <v>1</v>
      </c>
      <c r="G298" s="2">
        <v>205</v>
      </c>
      <c r="H298" s="2" t="s">
        <v>615</v>
      </c>
      <c r="I298" s="2">
        <v>57</v>
      </c>
      <c r="J298" s="2">
        <v>228</v>
      </c>
      <c r="K298" s="2">
        <v>1</v>
      </c>
      <c r="L298" s="2">
        <v>56</v>
      </c>
      <c r="M298" s="2">
        <v>261</v>
      </c>
      <c r="N298" s="2" t="s">
        <v>17</v>
      </c>
      <c r="O298" s="2" t="s">
        <v>17</v>
      </c>
      <c r="P298">
        <f t="shared" si="24"/>
        <v>0.99514563106796117</v>
      </c>
      <c r="Q298">
        <f t="shared" si="25"/>
        <v>0.98245614035087714</v>
      </c>
      <c r="R298">
        <f t="shared" si="26"/>
        <v>1</v>
      </c>
      <c r="S298">
        <f t="shared" si="27"/>
        <v>1</v>
      </c>
      <c r="T298">
        <f t="shared" si="28"/>
        <v>2</v>
      </c>
      <c r="U298">
        <f t="shared" si="29"/>
        <v>148.44882114877092</v>
      </c>
    </row>
    <row r="299" spans="1:21" x14ac:dyDescent="0.2">
      <c r="A299" s="3">
        <v>45955</v>
      </c>
      <c r="B299" s="2">
        <v>110614.6</v>
      </c>
      <c r="C299" s="2" t="s">
        <v>616</v>
      </c>
      <c r="D299" s="2">
        <v>33</v>
      </c>
      <c r="E299" s="2">
        <v>132</v>
      </c>
      <c r="F299" s="2">
        <v>1</v>
      </c>
      <c r="G299" s="2">
        <v>32</v>
      </c>
      <c r="H299" s="2" t="s">
        <v>617</v>
      </c>
      <c r="I299" s="2">
        <v>33</v>
      </c>
      <c r="J299" s="2">
        <v>132</v>
      </c>
      <c r="K299" s="2">
        <v>1</v>
      </c>
      <c r="L299" s="2">
        <v>32</v>
      </c>
      <c r="M299" s="2">
        <v>64</v>
      </c>
      <c r="N299" s="2" t="s">
        <v>17</v>
      </c>
      <c r="O299" s="2" t="s">
        <v>17</v>
      </c>
      <c r="P299">
        <f t="shared" si="24"/>
        <v>0.96969696969696972</v>
      </c>
      <c r="Q299">
        <f t="shared" si="25"/>
        <v>0.96969696969696972</v>
      </c>
      <c r="R299">
        <f t="shared" si="26"/>
        <v>1</v>
      </c>
      <c r="S299">
        <f t="shared" si="27"/>
        <v>1</v>
      </c>
      <c r="T299">
        <f t="shared" si="28"/>
        <v>2</v>
      </c>
      <c r="U299">
        <f t="shared" si="29"/>
        <v>150.44882114877092</v>
      </c>
    </row>
    <row r="300" spans="1:21" x14ac:dyDescent="0.2">
      <c r="A300" s="3">
        <v>45956</v>
      </c>
      <c r="B300" s="2">
        <v>111674.8</v>
      </c>
      <c r="C300" s="2" t="s">
        <v>618</v>
      </c>
      <c r="D300" s="2">
        <v>73</v>
      </c>
      <c r="E300" s="2">
        <v>292</v>
      </c>
      <c r="F300" s="2">
        <v>292</v>
      </c>
      <c r="G300" s="2">
        <v>-219</v>
      </c>
      <c r="H300" s="2" t="s">
        <v>619</v>
      </c>
      <c r="I300" s="2">
        <v>33</v>
      </c>
      <c r="J300" s="2">
        <v>132</v>
      </c>
      <c r="K300" s="2">
        <v>1</v>
      </c>
      <c r="L300" s="2">
        <v>32</v>
      </c>
      <c r="M300" s="2">
        <v>-187</v>
      </c>
      <c r="N300" s="2" t="s">
        <v>20</v>
      </c>
      <c r="O300" s="2" t="s">
        <v>17</v>
      </c>
      <c r="P300">
        <f t="shared" si="24"/>
        <v>-3</v>
      </c>
      <c r="Q300">
        <f t="shared" si="25"/>
        <v>0.96969696969696972</v>
      </c>
      <c r="R300">
        <f t="shared" si="26"/>
        <v>-3</v>
      </c>
      <c r="S300">
        <f t="shared" si="27"/>
        <v>1</v>
      </c>
      <c r="T300">
        <f t="shared" si="28"/>
        <v>-2</v>
      </c>
      <c r="U300">
        <f t="shared" si="29"/>
        <v>148.44882114877092</v>
      </c>
    </row>
    <row r="301" spans="1:21" x14ac:dyDescent="0.2">
      <c r="A301" s="3">
        <v>45957</v>
      </c>
      <c r="B301" s="2">
        <v>113589.3</v>
      </c>
      <c r="C301" s="2" t="s">
        <v>620</v>
      </c>
      <c r="D301" s="2">
        <v>85</v>
      </c>
      <c r="E301" s="2">
        <v>340</v>
      </c>
      <c r="F301" s="2">
        <v>340</v>
      </c>
      <c r="G301" s="2">
        <v>-255</v>
      </c>
      <c r="H301" s="2" t="s">
        <v>621</v>
      </c>
      <c r="I301" s="2">
        <v>107</v>
      </c>
      <c r="J301" s="2">
        <v>428</v>
      </c>
      <c r="K301" s="2">
        <v>1</v>
      </c>
      <c r="L301" s="2">
        <v>106</v>
      </c>
      <c r="M301" s="2">
        <v>-149</v>
      </c>
      <c r="N301" s="2" t="s">
        <v>20</v>
      </c>
      <c r="O301" s="2" t="s">
        <v>17</v>
      </c>
      <c r="P301">
        <f t="shared" si="24"/>
        <v>-3</v>
      </c>
      <c r="Q301">
        <f t="shared" si="25"/>
        <v>0.99065420560747663</v>
      </c>
      <c r="R301">
        <f t="shared" si="26"/>
        <v>-3</v>
      </c>
      <c r="S301">
        <f t="shared" si="27"/>
        <v>1</v>
      </c>
      <c r="T301">
        <f t="shared" si="28"/>
        <v>-2</v>
      </c>
      <c r="U301">
        <f t="shared" si="29"/>
        <v>146.44882114877092</v>
      </c>
    </row>
    <row r="302" spans="1:21" x14ac:dyDescent="0.2">
      <c r="A302" s="3">
        <v>45958</v>
      </c>
      <c r="B302" s="2">
        <v>115266.2</v>
      </c>
      <c r="C302" s="2" t="s">
        <v>622</v>
      </c>
      <c r="D302" s="2">
        <v>38</v>
      </c>
      <c r="E302" s="2">
        <v>152</v>
      </c>
      <c r="F302" s="2">
        <v>1</v>
      </c>
      <c r="G302" s="2">
        <v>37</v>
      </c>
      <c r="H302" s="2" t="s">
        <v>623</v>
      </c>
      <c r="I302" s="2">
        <v>161</v>
      </c>
      <c r="J302" s="2">
        <v>644</v>
      </c>
      <c r="K302" s="2">
        <v>1</v>
      </c>
      <c r="L302" s="2">
        <v>160</v>
      </c>
      <c r="M302" s="2">
        <v>197</v>
      </c>
      <c r="N302" s="2" t="s">
        <v>17</v>
      </c>
      <c r="O302" s="2" t="s">
        <v>17</v>
      </c>
      <c r="P302">
        <f t="shared" si="24"/>
        <v>0.97368421052631582</v>
      </c>
      <c r="Q302">
        <f t="shared" si="25"/>
        <v>0.99378881987577639</v>
      </c>
      <c r="R302">
        <f t="shared" si="26"/>
        <v>1</v>
      </c>
      <c r="S302">
        <f t="shared" si="27"/>
        <v>1</v>
      </c>
      <c r="T302">
        <f t="shared" si="28"/>
        <v>2</v>
      </c>
      <c r="U302">
        <f t="shared" si="29"/>
        <v>148.44882114877092</v>
      </c>
    </row>
    <row r="303" spans="1:21" x14ac:dyDescent="0.2">
      <c r="A303" s="3">
        <v>45959</v>
      </c>
      <c r="B303" s="2">
        <v>115020.3</v>
      </c>
      <c r="C303" s="2" t="s">
        <v>624</v>
      </c>
      <c r="D303" s="2">
        <v>48</v>
      </c>
      <c r="E303" s="2">
        <v>192</v>
      </c>
      <c r="F303" s="2">
        <v>1</v>
      </c>
      <c r="G303" s="2">
        <v>47</v>
      </c>
      <c r="H303" s="2" t="s">
        <v>625</v>
      </c>
      <c r="I303" s="2">
        <v>63.9</v>
      </c>
      <c r="J303" s="2">
        <v>255.6</v>
      </c>
      <c r="K303" s="2">
        <v>255.6</v>
      </c>
      <c r="L303" s="2">
        <v>-191.7</v>
      </c>
      <c r="M303" s="2">
        <v>-144.69999999999999</v>
      </c>
      <c r="N303" s="2" t="s">
        <v>17</v>
      </c>
      <c r="O303" s="2" t="s">
        <v>20</v>
      </c>
      <c r="P303">
        <f t="shared" si="24"/>
        <v>0.97916666666666663</v>
      </c>
      <c r="Q303">
        <f t="shared" si="25"/>
        <v>-3</v>
      </c>
      <c r="R303">
        <f t="shared" si="26"/>
        <v>1</v>
      </c>
      <c r="S303">
        <f t="shared" si="27"/>
        <v>-3</v>
      </c>
      <c r="T303">
        <f t="shared" si="28"/>
        <v>-2</v>
      </c>
      <c r="U303">
        <f t="shared" si="29"/>
        <v>146.44882114877092</v>
      </c>
    </row>
    <row r="304" spans="1:21" x14ac:dyDescent="0.2">
      <c r="A304" s="3">
        <v>45960</v>
      </c>
      <c r="B304" s="2">
        <v>111083.1</v>
      </c>
      <c r="C304" s="2" t="s">
        <v>626</v>
      </c>
      <c r="D304" s="2">
        <v>53</v>
      </c>
      <c r="E304" s="2">
        <v>212</v>
      </c>
      <c r="F304" s="2">
        <v>1</v>
      </c>
      <c r="G304" s="2">
        <v>52</v>
      </c>
      <c r="H304" s="2" t="s">
        <v>627</v>
      </c>
      <c r="I304" s="2">
        <v>142</v>
      </c>
      <c r="J304" s="2">
        <v>568</v>
      </c>
      <c r="K304" s="2">
        <v>1</v>
      </c>
      <c r="L304" s="2">
        <v>141</v>
      </c>
      <c r="M304" s="2">
        <v>193</v>
      </c>
      <c r="N304" s="2" t="s">
        <v>17</v>
      </c>
      <c r="O304" s="2" t="s">
        <v>17</v>
      </c>
      <c r="P304">
        <f t="shared" si="24"/>
        <v>0.98113207547169812</v>
      </c>
      <c r="Q304">
        <f t="shared" si="25"/>
        <v>0.99295774647887325</v>
      </c>
      <c r="R304">
        <f t="shared" si="26"/>
        <v>1</v>
      </c>
      <c r="S304">
        <f t="shared" si="27"/>
        <v>1</v>
      </c>
      <c r="T304">
        <f t="shared" si="28"/>
        <v>2</v>
      </c>
      <c r="U304">
        <f t="shared" si="29"/>
        <v>148.44882114877092</v>
      </c>
    </row>
    <row r="305" spans="1:21" x14ac:dyDescent="0.2">
      <c r="A305" s="3">
        <v>45961</v>
      </c>
      <c r="B305" s="2">
        <v>106835</v>
      </c>
      <c r="C305" s="2" t="s">
        <v>628</v>
      </c>
      <c r="D305" s="2">
        <v>34</v>
      </c>
      <c r="E305" s="2">
        <v>136</v>
      </c>
      <c r="F305" s="2">
        <v>1</v>
      </c>
      <c r="G305" s="2">
        <v>33</v>
      </c>
      <c r="H305" s="2" t="s">
        <v>629</v>
      </c>
      <c r="I305" s="2">
        <v>40</v>
      </c>
      <c r="J305" s="2">
        <v>160</v>
      </c>
      <c r="K305" s="2">
        <v>1</v>
      </c>
      <c r="L305" s="2">
        <v>39</v>
      </c>
      <c r="M305" s="2">
        <v>72</v>
      </c>
      <c r="N305" s="2" t="s">
        <v>17</v>
      </c>
      <c r="O305" s="2" t="s">
        <v>17</v>
      </c>
      <c r="P305">
        <f t="shared" si="24"/>
        <v>0.97058823529411764</v>
      </c>
      <c r="Q305">
        <f t="shared" si="25"/>
        <v>0.97499999999999998</v>
      </c>
      <c r="R305">
        <f t="shared" si="26"/>
        <v>1</v>
      </c>
      <c r="S305">
        <f t="shared" si="27"/>
        <v>1</v>
      </c>
      <c r="T305">
        <f t="shared" si="28"/>
        <v>2</v>
      </c>
      <c r="U305">
        <f t="shared" si="29"/>
        <v>150.44882114877092</v>
      </c>
    </row>
    <row r="306" spans="1:21" x14ac:dyDescent="0.2">
      <c r="A306" s="3">
        <v>45962</v>
      </c>
      <c r="B306" s="2">
        <v>109315.8</v>
      </c>
      <c r="C306" s="2" t="s">
        <v>630</v>
      </c>
      <c r="D306" s="2">
        <v>46</v>
      </c>
      <c r="E306" s="2">
        <v>184</v>
      </c>
      <c r="F306" s="2">
        <v>1</v>
      </c>
      <c r="G306" s="2">
        <v>45</v>
      </c>
      <c r="H306" s="2" t="s">
        <v>631</v>
      </c>
      <c r="I306" s="2">
        <v>43</v>
      </c>
      <c r="J306" s="2">
        <v>172</v>
      </c>
      <c r="K306" s="2">
        <v>1</v>
      </c>
      <c r="L306" s="2">
        <v>42</v>
      </c>
      <c r="M306" s="2">
        <v>87</v>
      </c>
      <c r="N306" s="2" t="s">
        <v>17</v>
      </c>
      <c r="O306" s="2" t="s">
        <v>17</v>
      </c>
      <c r="P306">
        <f t="shared" si="24"/>
        <v>0.97826086956521741</v>
      </c>
      <c r="Q306">
        <f t="shared" si="25"/>
        <v>0.97674418604651159</v>
      </c>
      <c r="R306">
        <f t="shared" si="26"/>
        <v>1</v>
      </c>
      <c r="S306">
        <f t="shared" si="27"/>
        <v>1</v>
      </c>
      <c r="T306">
        <f t="shared" si="28"/>
        <v>2</v>
      </c>
      <c r="U306">
        <f t="shared" si="29"/>
        <v>152.44882114877092</v>
      </c>
    </row>
    <row r="307" spans="1:21" x14ac:dyDescent="0.2">
      <c r="A307" s="3">
        <v>45963</v>
      </c>
      <c r="B307" s="2">
        <v>110294.1</v>
      </c>
      <c r="C307" s="2" t="s">
        <v>632</v>
      </c>
      <c r="D307" s="2">
        <v>40.1</v>
      </c>
      <c r="E307" s="2">
        <v>160.4</v>
      </c>
      <c r="F307" s="2">
        <v>1</v>
      </c>
      <c r="G307" s="2">
        <v>39.1</v>
      </c>
      <c r="H307" s="2" t="s">
        <v>633</v>
      </c>
      <c r="I307" s="2">
        <v>31</v>
      </c>
      <c r="J307" s="2">
        <v>124</v>
      </c>
      <c r="K307" s="2">
        <v>1</v>
      </c>
      <c r="L307" s="2">
        <v>30</v>
      </c>
      <c r="M307" s="2">
        <v>69.099999999999994</v>
      </c>
      <c r="N307" s="2" t="s">
        <v>17</v>
      </c>
      <c r="O307" s="2" t="s">
        <v>17</v>
      </c>
      <c r="P307">
        <f t="shared" si="24"/>
        <v>0.97506234413965087</v>
      </c>
      <c r="Q307">
        <f t="shared" si="25"/>
        <v>0.967741935483871</v>
      </c>
      <c r="R307">
        <f t="shared" si="26"/>
        <v>1</v>
      </c>
      <c r="S307">
        <f t="shared" si="27"/>
        <v>1</v>
      </c>
      <c r="T307">
        <f t="shared" si="28"/>
        <v>2</v>
      </c>
      <c r="U307">
        <f t="shared" si="29"/>
        <v>154.44882114877092</v>
      </c>
    </row>
    <row r="308" spans="1:21" x14ac:dyDescent="0.2">
      <c r="A308" s="3">
        <v>45964</v>
      </c>
      <c r="B308" s="2">
        <v>110321.9</v>
      </c>
      <c r="C308" s="2" t="s">
        <v>634</v>
      </c>
      <c r="D308" s="2">
        <v>65</v>
      </c>
      <c r="E308" s="2">
        <v>260</v>
      </c>
      <c r="F308" s="2">
        <v>1</v>
      </c>
      <c r="G308" s="2">
        <v>64</v>
      </c>
      <c r="H308" s="2" t="s">
        <v>635</v>
      </c>
      <c r="I308" s="2">
        <v>57</v>
      </c>
      <c r="J308" s="2">
        <v>228</v>
      </c>
      <c r="K308" s="2">
        <v>1</v>
      </c>
      <c r="L308" s="2">
        <v>56</v>
      </c>
      <c r="M308" s="2">
        <v>120</v>
      </c>
      <c r="N308" s="2" t="s">
        <v>17</v>
      </c>
      <c r="O308" s="2" t="s">
        <v>17</v>
      </c>
      <c r="P308">
        <f t="shared" si="24"/>
        <v>0.98461538461538467</v>
      </c>
      <c r="Q308">
        <f t="shared" si="25"/>
        <v>0.98245614035087714</v>
      </c>
      <c r="R308">
        <f t="shared" si="26"/>
        <v>1</v>
      </c>
      <c r="S308">
        <f t="shared" si="27"/>
        <v>1</v>
      </c>
      <c r="T308">
        <f t="shared" si="28"/>
        <v>2</v>
      </c>
      <c r="U308">
        <f t="shared" si="29"/>
        <v>156.44882114877092</v>
      </c>
    </row>
    <row r="309" spans="1:21" x14ac:dyDescent="0.2">
      <c r="A309" s="3">
        <v>45965</v>
      </c>
      <c r="B309" s="2">
        <v>106917</v>
      </c>
      <c r="C309" s="2" t="s">
        <v>636</v>
      </c>
      <c r="D309" s="2">
        <v>40</v>
      </c>
      <c r="E309" s="2">
        <v>160</v>
      </c>
      <c r="F309" s="2">
        <v>1</v>
      </c>
      <c r="G309" s="2">
        <v>39</v>
      </c>
      <c r="H309" s="2" t="s">
        <v>637</v>
      </c>
      <c r="I309" s="2">
        <v>55</v>
      </c>
      <c r="J309" s="2">
        <v>220</v>
      </c>
      <c r="K309" s="2">
        <v>220</v>
      </c>
      <c r="L309" s="2">
        <v>-165</v>
      </c>
      <c r="M309" s="2">
        <v>-126</v>
      </c>
      <c r="N309" s="2" t="s">
        <v>17</v>
      </c>
      <c r="O309" s="2" t="s">
        <v>20</v>
      </c>
      <c r="P309">
        <f t="shared" si="24"/>
        <v>0.97499999999999998</v>
      </c>
      <c r="Q309">
        <f t="shared" si="25"/>
        <v>-3</v>
      </c>
      <c r="R309">
        <f t="shared" si="26"/>
        <v>1</v>
      </c>
      <c r="S309">
        <f t="shared" si="27"/>
        <v>-3</v>
      </c>
      <c r="T309">
        <f t="shared" si="28"/>
        <v>-2</v>
      </c>
      <c r="U309">
        <f t="shared" si="29"/>
        <v>154.44882114877092</v>
      </c>
    </row>
    <row r="310" spans="1:21" x14ac:dyDescent="0.2">
      <c r="A310" s="3">
        <v>45966</v>
      </c>
      <c r="B310" s="2">
        <v>101385.3</v>
      </c>
      <c r="C310" s="2" t="s">
        <v>638</v>
      </c>
      <c r="D310" s="2">
        <v>40</v>
      </c>
      <c r="E310" s="2">
        <v>160</v>
      </c>
      <c r="F310" s="2">
        <v>1</v>
      </c>
      <c r="G310" s="2">
        <v>39</v>
      </c>
      <c r="H310" s="2" t="s">
        <v>639</v>
      </c>
      <c r="I310" s="2">
        <v>175</v>
      </c>
      <c r="J310" s="2">
        <v>700</v>
      </c>
      <c r="K310" s="2">
        <v>1</v>
      </c>
      <c r="L310" s="2">
        <v>174</v>
      </c>
      <c r="M310" s="2">
        <v>213</v>
      </c>
      <c r="N310" s="2" t="s">
        <v>17</v>
      </c>
      <c r="O310" s="2" t="s">
        <v>17</v>
      </c>
      <c r="P310">
        <f t="shared" si="24"/>
        <v>0.97499999999999998</v>
      </c>
      <c r="Q310">
        <f t="shared" si="25"/>
        <v>0.99428571428571433</v>
      </c>
      <c r="R310">
        <f t="shared" si="26"/>
        <v>1</v>
      </c>
      <c r="S310">
        <f t="shared" si="27"/>
        <v>1</v>
      </c>
      <c r="T310">
        <f t="shared" si="28"/>
        <v>2</v>
      </c>
      <c r="U310">
        <f t="shared" si="29"/>
        <v>156.44882114877092</v>
      </c>
    </row>
    <row r="311" spans="1:21" x14ac:dyDescent="0.2">
      <c r="A311" s="3">
        <v>45967</v>
      </c>
      <c r="B311" s="2">
        <v>104313.7</v>
      </c>
      <c r="C311" s="2" t="s">
        <v>640</v>
      </c>
      <c r="D311" s="2">
        <v>53</v>
      </c>
      <c r="E311" s="2">
        <v>212</v>
      </c>
      <c r="F311" s="2">
        <v>1</v>
      </c>
      <c r="G311" s="2">
        <v>52</v>
      </c>
      <c r="H311" s="2" t="s">
        <v>641</v>
      </c>
      <c r="I311" s="2">
        <v>42</v>
      </c>
      <c r="J311" s="2">
        <v>168</v>
      </c>
      <c r="K311" s="2">
        <v>1</v>
      </c>
      <c r="L311" s="2">
        <v>41</v>
      </c>
      <c r="M311" s="2">
        <v>93</v>
      </c>
      <c r="N311" s="2" t="s">
        <v>17</v>
      </c>
      <c r="O311" s="2" t="s">
        <v>17</v>
      </c>
      <c r="P311">
        <f t="shared" si="24"/>
        <v>0.98113207547169812</v>
      </c>
      <c r="Q311">
        <f t="shared" si="25"/>
        <v>0.97619047619047616</v>
      </c>
      <c r="R311">
        <f t="shared" si="26"/>
        <v>1</v>
      </c>
      <c r="S311">
        <f t="shared" si="27"/>
        <v>1</v>
      </c>
      <c r="T311">
        <f t="shared" si="28"/>
        <v>2</v>
      </c>
      <c r="U311">
        <f t="shared" si="29"/>
        <v>158.44882114877092</v>
      </c>
    </row>
    <row r="312" spans="1:21" x14ac:dyDescent="0.2">
      <c r="A312" s="3">
        <v>45968</v>
      </c>
      <c r="B312" s="2">
        <v>101673</v>
      </c>
      <c r="C312" s="2" t="s">
        <v>642</v>
      </c>
      <c r="D312" s="2">
        <v>50</v>
      </c>
      <c r="E312" s="2">
        <v>200</v>
      </c>
      <c r="F312" s="2">
        <v>1</v>
      </c>
      <c r="G312" s="2">
        <v>49</v>
      </c>
      <c r="H312" s="2" t="s">
        <v>643</v>
      </c>
      <c r="I312" s="2">
        <v>66</v>
      </c>
      <c r="J312" s="2">
        <v>264</v>
      </c>
      <c r="K312" s="2">
        <v>1</v>
      </c>
      <c r="L312" s="2">
        <v>65</v>
      </c>
      <c r="M312" s="2">
        <v>114</v>
      </c>
      <c r="N312" s="2" t="s">
        <v>17</v>
      </c>
      <c r="O312" s="2" t="s">
        <v>17</v>
      </c>
      <c r="P312">
        <f t="shared" si="24"/>
        <v>0.98</v>
      </c>
      <c r="Q312">
        <f t="shared" si="25"/>
        <v>0.98484848484848486</v>
      </c>
      <c r="R312">
        <f t="shared" si="26"/>
        <v>1</v>
      </c>
      <c r="S312">
        <f t="shared" si="27"/>
        <v>1</v>
      </c>
      <c r="T312">
        <f t="shared" si="28"/>
        <v>2</v>
      </c>
      <c r="U312">
        <f t="shared" si="29"/>
        <v>160.44882114877092</v>
      </c>
    </row>
    <row r="313" spans="1:21" x14ac:dyDescent="0.2">
      <c r="A313" s="3">
        <v>45969</v>
      </c>
      <c r="B313" s="2">
        <v>102588.4</v>
      </c>
      <c r="C313" s="2" t="s">
        <v>644</v>
      </c>
      <c r="D313" s="2">
        <v>38</v>
      </c>
      <c r="E313" s="2">
        <v>152</v>
      </c>
      <c r="F313" s="2">
        <v>1</v>
      </c>
      <c r="G313" s="2">
        <v>37</v>
      </c>
      <c r="H313" s="2" t="s">
        <v>645</v>
      </c>
      <c r="I313" s="2">
        <v>36</v>
      </c>
      <c r="J313" s="2">
        <v>144</v>
      </c>
      <c r="K313" s="2">
        <v>1</v>
      </c>
      <c r="L313" s="2">
        <v>35</v>
      </c>
      <c r="M313" s="2">
        <v>72</v>
      </c>
      <c r="N313" s="2" t="s">
        <v>17</v>
      </c>
      <c r="O313" s="2" t="s">
        <v>17</v>
      </c>
      <c r="P313">
        <f t="shared" si="24"/>
        <v>0.97368421052631582</v>
      </c>
      <c r="Q313">
        <f t="shared" si="25"/>
        <v>0.97222222222222221</v>
      </c>
      <c r="R313">
        <f t="shared" si="26"/>
        <v>1</v>
      </c>
      <c r="S313">
        <f t="shared" si="27"/>
        <v>1</v>
      </c>
      <c r="T313">
        <f t="shared" si="28"/>
        <v>2</v>
      </c>
      <c r="U313">
        <f t="shared" si="29"/>
        <v>162.44882114877092</v>
      </c>
    </row>
    <row r="314" spans="1:21" x14ac:dyDescent="0.2">
      <c r="A314" s="3">
        <v>45970</v>
      </c>
      <c r="B314" s="2">
        <v>102193</v>
      </c>
      <c r="C314" s="2" t="s">
        <v>646</v>
      </c>
      <c r="D314" s="2">
        <v>153</v>
      </c>
      <c r="E314" s="2">
        <v>612</v>
      </c>
      <c r="F314" s="2">
        <v>1</v>
      </c>
      <c r="G314" s="2">
        <v>152</v>
      </c>
      <c r="H314" s="2" t="s">
        <v>647</v>
      </c>
      <c r="I314" s="2">
        <v>101</v>
      </c>
      <c r="J314" s="2">
        <v>404</v>
      </c>
      <c r="K314" s="2">
        <v>1</v>
      </c>
      <c r="L314" s="2">
        <v>100</v>
      </c>
      <c r="M314" s="2">
        <v>252</v>
      </c>
      <c r="N314" s="2" t="s">
        <v>17</v>
      </c>
      <c r="O314" s="2" t="s">
        <v>17</v>
      </c>
      <c r="P314">
        <f t="shared" si="24"/>
        <v>0.99346405228758172</v>
      </c>
      <c r="Q314">
        <f t="shared" si="25"/>
        <v>0.99009900990099009</v>
      </c>
      <c r="R314">
        <f t="shared" si="26"/>
        <v>1</v>
      </c>
      <c r="S314">
        <f t="shared" si="27"/>
        <v>1</v>
      </c>
      <c r="T314">
        <f t="shared" si="28"/>
        <v>2</v>
      </c>
      <c r="U314">
        <f t="shared" si="29"/>
        <v>164.44882114877092</v>
      </c>
    </row>
    <row r="315" spans="1:21" x14ac:dyDescent="0.2">
      <c r="A315" s="3">
        <v>45971</v>
      </c>
      <c r="B315" s="2">
        <v>104649</v>
      </c>
      <c r="C315" s="2" t="s">
        <v>648</v>
      </c>
      <c r="D315" s="2">
        <v>148</v>
      </c>
      <c r="E315" s="2">
        <v>592</v>
      </c>
      <c r="F315" s="2">
        <v>592</v>
      </c>
      <c r="G315" s="2">
        <v>-444</v>
      </c>
      <c r="H315" s="2" t="s">
        <v>649</v>
      </c>
      <c r="I315" s="2">
        <v>67</v>
      </c>
      <c r="J315" s="2">
        <v>268</v>
      </c>
      <c r="K315" s="2">
        <v>1</v>
      </c>
      <c r="L315" s="2">
        <v>66</v>
      </c>
      <c r="M315" s="2">
        <v>-378</v>
      </c>
      <c r="N315" s="2" t="s">
        <v>20</v>
      </c>
      <c r="O315" s="2" t="s">
        <v>17</v>
      </c>
      <c r="P315">
        <f t="shared" si="24"/>
        <v>-3</v>
      </c>
      <c r="Q315">
        <f t="shared" si="25"/>
        <v>0.9850746268656716</v>
      </c>
      <c r="R315">
        <f t="shared" si="26"/>
        <v>-3</v>
      </c>
      <c r="S315">
        <f t="shared" si="27"/>
        <v>1</v>
      </c>
      <c r="T315">
        <f t="shared" si="28"/>
        <v>-2</v>
      </c>
      <c r="U315">
        <f t="shared" si="29"/>
        <v>162.44882114877092</v>
      </c>
    </row>
    <row r="316" spans="1:21" x14ac:dyDescent="0.2">
      <c r="A316" s="3">
        <v>45972</v>
      </c>
      <c r="B316" s="2">
        <v>105463.5</v>
      </c>
      <c r="C316" s="2" t="s">
        <v>650</v>
      </c>
      <c r="D316" s="2">
        <v>59</v>
      </c>
      <c r="E316" s="2">
        <v>236</v>
      </c>
      <c r="F316" s="2">
        <v>236</v>
      </c>
      <c r="G316" s="2">
        <v>-177</v>
      </c>
      <c r="H316" s="2" t="s">
        <v>651</v>
      </c>
      <c r="I316" s="2">
        <v>59</v>
      </c>
      <c r="J316" s="2">
        <v>236</v>
      </c>
      <c r="K316" s="2">
        <v>1</v>
      </c>
      <c r="L316" s="2">
        <v>58</v>
      </c>
      <c r="M316" s="2">
        <v>-119</v>
      </c>
      <c r="N316" s="2" t="s">
        <v>20</v>
      </c>
      <c r="O316" s="2" t="s">
        <v>17</v>
      </c>
      <c r="P316">
        <f t="shared" si="24"/>
        <v>-3</v>
      </c>
      <c r="Q316">
        <f t="shared" si="25"/>
        <v>0.98305084745762716</v>
      </c>
      <c r="R316">
        <f t="shared" si="26"/>
        <v>-3</v>
      </c>
      <c r="S316">
        <f t="shared" si="27"/>
        <v>1</v>
      </c>
      <c r="T316">
        <f t="shared" si="28"/>
        <v>-2</v>
      </c>
      <c r="U316">
        <f t="shared" si="29"/>
        <v>160.44882114877092</v>
      </c>
    </row>
    <row r="317" spans="1:21" x14ac:dyDescent="0.2">
      <c r="A317" s="3">
        <v>45973</v>
      </c>
      <c r="B317" s="2">
        <v>103216.3</v>
      </c>
      <c r="C317" s="2" t="s">
        <v>652</v>
      </c>
      <c r="D317" s="2">
        <v>43</v>
      </c>
      <c r="E317" s="2">
        <v>172</v>
      </c>
      <c r="F317" s="2">
        <v>1</v>
      </c>
      <c r="G317" s="2">
        <v>42</v>
      </c>
      <c r="H317" s="2" t="s">
        <v>653</v>
      </c>
      <c r="I317" s="2">
        <v>230</v>
      </c>
      <c r="J317" s="2">
        <v>920</v>
      </c>
      <c r="K317" s="2">
        <v>1</v>
      </c>
      <c r="L317" s="2">
        <v>229</v>
      </c>
      <c r="M317" s="2">
        <v>271</v>
      </c>
      <c r="N317" s="2" t="s">
        <v>17</v>
      </c>
      <c r="O317" s="2" t="s">
        <v>17</v>
      </c>
      <c r="P317">
        <f t="shared" si="24"/>
        <v>0.97674418604651159</v>
      </c>
      <c r="Q317">
        <f t="shared" si="25"/>
        <v>0.9956521739130435</v>
      </c>
      <c r="R317">
        <f t="shared" si="26"/>
        <v>1</v>
      </c>
      <c r="S317">
        <f t="shared" si="27"/>
        <v>1</v>
      </c>
      <c r="T317">
        <f t="shared" si="28"/>
        <v>2</v>
      </c>
      <c r="U317">
        <f t="shared" si="29"/>
        <v>162.44882114877092</v>
      </c>
    </row>
    <row r="318" spans="1:21" x14ac:dyDescent="0.2">
      <c r="A318" s="3">
        <v>45974</v>
      </c>
      <c r="B318" s="2">
        <v>101513.2</v>
      </c>
      <c r="C318" s="2" t="s">
        <v>654</v>
      </c>
      <c r="D318" s="2">
        <v>30</v>
      </c>
      <c r="E318" s="2">
        <v>120</v>
      </c>
      <c r="F318" s="2">
        <v>1</v>
      </c>
      <c r="G318" s="2">
        <v>29</v>
      </c>
      <c r="H318" s="2" t="s">
        <v>655</v>
      </c>
      <c r="I318" s="2">
        <v>218</v>
      </c>
      <c r="J318" s="2">
        <v>872</v>
      </c>
      <c r="K318" s="2">
        <v>1</v>
      </c>
      <c r="L318" s="2">
        <v>217</v>
      </c>
      <c r="M318" s="2">
        <v>246</v>
      </c>
      <c r="N318" s="2" t="s">
        <v>17</v>
      </c>
      <c r="O318" s="2" t="s">
        <v>17</v>
      </c>
      <c r="P318">
        <f t="shared" si="24"/>
        <v>0.96666666666666667</v>
      </c>
      <c r="Q318">
        <f t="shared" si="25"/>
        <v>0.99541284403669728</v>
      </c>
      <c r="R318">
        <f t="shared" si="26"/>
        <v>1</v>
      </c>
      <c r="S318">
        <f t="shared" si="27"/>
        <v>1</v>
      </c>
      <c r="T318">
        <f t="shared" si="28"/>
        <v>2</v>
      </c>
      <c r="U318">
        <f t="shared" si="29"/>
        <v>164.44882114877092</v>
      </c>
    </row>
    <row r="319" spans="1:21" x14ac:dyDescent="0.2">
      <c r="A319" s="3">
        <v>45975</v>
      </c>
      <c r="B319" s="2">
        <v>98522.2</v>
      </c>
      <c r="C319" s="2" t="s">
        <v>656</v>
      </c>
      <c r="D319" s="2">
        <v>40</v>
      </c>
      <c r="E319" s="2">
        <v>160</v>
      </c>
      <c r="F319" s="2">
        <v>1</v>
      </c>
      <c r="G319" s="2">
        <v>39</v>
      </c>
      <c r="H319" s="2" t="s">
        <v>657</v>
      </c>
      <c r="I319" s="2">
        <v>32</v>
      </c>
      <c r="J319" s="2">
        <v>128</v>
      </c>
      <c r="K319" s="2">
        <v>1</v>
      </c>
      <c r="L319" s="2">
        <v>31</v>
      </c>
      <c r="M319" s="2">
        <v>70</v>
      </c>
      <c r="N319" s="2" t="s">
        <v>17</v>
      </c>
      <c r="O319" s="2" t="s">
        <v>17</v>
      </c>
      <c r="P319">
        <f t="shared" si="24"/>
        <v>0.97499999999999998</v>
      </c>
      <c r="Q319">
        <f t="shared" si="25"/>
        <v>0.96875</v>
      </c>
      <c r="R319">
        <f t="shared" si="26"/>
        <v>1</v>
      </c>
      <c r="S319">
        <f t="shared" si="27"/>
        <v>1</v>
      </c>
      <c r="T319">
        <f t="shared" si="28"/>
        <v>2</v>
      </c>
      <c r="U319">
        <f t="shared" si="29"/>
        <v>166.44882114877092</v>
      </c>
    </row>
    <row r="320" spans="1:21" x14ac:dyDescent="0.2">
      <c r="A320" s="3">
        <v>45976</v>
      </c>
      <c r="B320" s="2">
        <v>95119.9</v>
      </c>
      <c r="C320" s="2" t="s">
        <v>658</v>
      </c>
      <c r="D320" s="2">
        <v>49</v>
      </c>
      <c r="E320" s="2">
        <v>196</v>
      </c>
      <c r="F320" s="2">
        <v>1</v>
      </c>
      <c r="G320" s="2">
        <v>48</v>
      </c>
      <c r="H320" s="2" t="s">
        <v>659</v>
      </c>
      <c r="I320" s="2">
        <v>70</v>
      </c>
      <c r="J320" s="2">
        <v>280</v>
      </c>
      <c r="K320" s="2">
        <v>1</v>
      </c>
      <c r="L320" s="2">
        <v>69</v>
      </c>
      <c r="M320" s="2">
        <v>117</v>
      </c>
      <c r="N320" s="2" t="s">
        <v>17</v>
      </c>
      <c r="O320" s="2" t="s">
        <v>17</v>
      </c>
      <c r="P320">
        <f t="shared" si="24"/>
        <v>0.97959183673469385</v>
      </c>
      <c r="Q320">
        <f t="shared" si="25"/>
        <v>0.98571428571428577</v>
      </c>
      <c r="R320">
        <f t="shared" si="26"/>
        <v>1</v>
      </c>
      <c r="S320">
        <f t="shared" si="27"/>
        <v>1</v>
      </c>
      <c r="T320">
        <f t="shared" si="28"/>
        <v>2</v>
      </c>
      <c r="U320">
        <f t="shared" si="29"/>
        <v>168.44882114877092</v>
      </c>
    </row>
    <row r="321" spans="1:21" x14ac:dyDescent="0.2">
      <c r="A321" s="3">
        <v>45977</v>
      </c>
      <c r="B321" s="2">
        <v>96036</v>
      </c>
      <c r="C321" s="2" t="s">
        <v>660</v>
      </c>
      <c r="D321" s="2">
        <v>53</v>
      </c>
      <c r="E321" s="2">
        <v>212</v>
      </c>
      <c r="F321" s="2">
        <v>1</v>
      </c>
      <c r="G321" s="2">
        <v>52</v>
      </c>
      <c r="H321" s="2" t="s">
        <v>661</v>
      </c>
      <c r="I321" s="2">
        <v>46</v>
      </c>
      <c r="J321" s="2">
        <v>184</v>
      </c>
      <c r="K321" s="2">
        <v>1</v>
      </c>
      <c r="L321" s="2">
        <v>45</v>
      </c>
      <c r="M321" s="2">
        <v>97</v>
      </c>
      <c r="N321" s="2" t="s">
        <v>17</v>
      </c>
      <c r="O321" s="2" t="s">
        <v>17</v>
      </c>
      <c r="P321">
        <f t="shared" si="24"/>
        <v>0.98113207547169812</v>
      </c>
      <c r="Q321">
        <f t="shared" si="25"/>
        <v>0.97826086956521741</v>
      </c>
      <c r="R321">
        <f t="shared" si="26"/>
        <v>1</v>
      </c>
      <c r="S321">
        <f t="shared" si="27"/>
        <v>1</v>
      </c>
      <c r="T321">
        <f t="shared" si="28"/>
        <v>2</v>
      </c>
      <c r="U321">
        <f t="shared" si="29"/>
        <v>170.44882114877092</v>
      </c>
    </row>
    <row r="322" spans="1:21" x14ac:dyDescent="0.2">
      <c r="A322" s="3">
        <v>45978</v>
      </c>
      <c r="B322" s="2">
        <v>94194.8</v>
      </c>
      <c r="C322" s="2" t="s">
        <v>662</v>
      </c>
      <c r="D322" s="2">
        <v>86</v>
      </c>
      <c r="E322" s="2">
        <v>344</v>
      </c>
      <c r="F322" s="2">
        <v>1</v>
      </c>
      <c r="G322" s="2">
        <v>85</v>
      </c>
      <c r="H322" s="2" t="s">
        <v>663</v>
      </c>
      <c r="I322" s="2">
        <v>142</v>
      </c>
      <c r="J322" s="2">
        <v>568</v>
      </c>
      <c r="K322" s="2">
        <v>1</v>
      </c>
      <c r="L322" s="2">
        <v>141</v>
      </c>
      <c r="M322" s="2">
        <v>226</v>
      </c>
      <c r="N322" s="2" t="s">
        <v>17</v>
      </c>
      <c r="O322" s="2" t="s">
        <v>17</v>
      </c>
      <c r="P322">
        <f t="shared" si="24"/>
        <v>0.98837209302325579</v>
      </c>
      <c r="Q322">
        <f t="shared" si="25"/>
        <v>0.99295774647887325</v>
      </c>
      <c r="R322">
        <f t="shared" si="26"/>
        <v>1</v>
      </c>
      <c r="S322">
        <f t="shared" si="27"/>
        <v>1</v>
      </c>
      <c r="T322">
        <f t="shared" si="28"/>
        <v>2</v>
      </c>
      <c r="U322">
        <f t="shared" si="29"/>
        <v>172.44882114877092</v>
      </c>
    </row>
    <row r="323" spans="1:21" x14ac:dyDescent="0.2">
      <c r="A323" s="3">
        <v>45979</v>
      </c>
      <c r="B323" s="2">
        <v>92626.7</v>
      </c>
      <c r="C323" s="2" t="s">
        <v>664</v>
      </c>
      <c r="D323" s="2">
        <v>45</v>
      </c>
      <c r="E323" s="2">
        <v>180</v>
      </c>
      <c r="F323" s="2">
        <v>1</v>
      </c>
      <c r="G323" s="2">
        <v>44</v>
      </c>
      <c r="H323" s="2" t="s">
        <v>665</v>
      </c>
      <c r="I323" s="2">
        <v>142</v>
      </c>
      <c r="J323" s="2">
        <v>568</v>
      </c>
      <c r="K323" s="2">
        <v>568</v>
      </c>
      <c r="L323" s="2">
        <v>-426</v>
      </c>
      <c r="M323" s="2">
        <v>-382</v>
      </c>
      <c r="N323" s="2" t="s">
        <v>17</v>
      </c>
      <c r="O323" s="2" t="s">
        <v>20</v>
      </c>
      <c r="P323">
        <f t="shared" ref="P323:P386" si="30">G323/D323</f>
        <v>0.97777777777777775</v>
      </c>
      <c r="Q323">
        <f t="shared" ref="Q323:Q386" si="31">L323/I323</f>
        <v>-3</v>
      </c>
      <c r="R323">
        <f t="shared" ref="R323:R386" si="32">IF(P323&gt;0.9,1,P323)</f>
        <v>1</v>
      </c>
      <c r="S323">
        <f t="shared" ref="S323:S386" si="33">IF(Q323&gt;0.9,1,Q323)</f>
        <v>-3</v>
      </c>
      <c r="T323">
        <f t="shared" ref="T323:T386" si="34">S323+R323</f>
        <v>-2</v>
      </c>
      <c r="U323">
        <f t="shared" si="29"/>
        <v>170.44882114877092</v>
      </c>
    </row>
    <row r="324" spans="1:21" x14ac:dyDescent="0.2">
      <c r="A324" s="3">
        <v>45980</v>
      </c>
      <c r="B324" s="2">
        <v>93352.2</v>
      </c>
      <c r="C324" s="2" t="s">
        <v>666</v>
      </c>
      <c r="D324" s="2">
        <v>90</v>
      </c>
      <c r="E324" s="2">
        <v>360</v>
      </c>
      <c r="F324" s="2">
        <v>1</v>
      </c>
      <c r="G324" s="2">
        <v>89</v>
      </c>
      <c r="H324" s="2" t="s">
        <v>667</v>
      </c>
      <c r="I324" s="2">
        <v>85</v>
      </c>
      <c r="J324" s="2">
        <v>340</v>
      </c>
      <c r="K324" s="2">
        <v>340</v>
      </c>
      <c r="L324" s="2">
        <v>-255</v>
      </c>
      <c r="M324" s="2">
        <v>-166</v>
      </c>
      <c r="N324" s="2" t="s">
        <v>17</v>
      </c>
      <c r="O324" s="2" t="s">
        <v>20</v>
      </c>
      <c r="P324">
        <f t="shared" si="30"/>
        <v>0.98888888888888893</v>
      </c>
      <c r="Q324">
        <f t="shared" si="31"/>
        <v>-3</v>
      </c>
      <c r="R324">
        <f t="shared" si="32"/>
        <v>1</v>
      </c>
      <c r="S324">
        <f t="shared" si="33"/>
        <v>-3</v>
      </c>
      <c r="T324">
        <f t="shared" si="34"/>
        <v>-2</v>
      </c>
      <c r="U324">
        <f t="shared" ref="U324:U387" si="35">U323+T324</f>
        <v>168.44882114877092</v>
      </c>
    </row>
    <row r="325" spans="1:21" x14ac:dyDescent="0.2">
      <c r="A325" s="3">
        <v>45981</v>
      </c>
      <c r="B325" s="2">
        <v>89168.5</v>
      </c>
      <c r="C325" s="2" t="s">
        <v>668</v>
      </c>
      <c r="D325" s="2">
        <v>279</v>
      </c>
      <c r="E325" s="2">
        <v>1116</v>
      </c>
      <c r="F325" s="2">
        <v>1116</v>
      </c>
      <c r="G325" s="2">
        <v>-837</v>
      </c>
      <c r="H325" s="2" t="s">
        <v>669</v>
      </c>
      <c r="I325" s="2">
        <v>122</v>
      </c>
      <c r="J325" s="2">
        <v>488</v>
      </c>
      <c r="K325" s="2">
        <v>1</v>
      </c>
      <c r="L325" s="2">
        <v>121</v>
      </c>
      <c r="M325" s="2">
        <v>-716</v>
      </c>
      <c r="N325" s="2" t="s">
        <v>20</v>
      </c>
      <c r="O325" s="2" t="s">
        <v>17</v>
      </c>
      <c r="P325">
        <f t="shared" si="30"/>
        <v>-3</v>
      </c>
      <c r="Q325">
        <f t="shared" si="31"/>
        <v>0.99180327868852458</v>
      </c>
      <c r="R325">
        <f t="shared" si="32"/>
        <v>-3</v>
      </c>
      <c r="S325">
        <f t="shared" si="33"/>
        <v>1</v>
      </c>
      <c r="T325">
        <f t="shared" si="34"/>
        <v>-2</v>
      </c>
      <c r="U325">
        <f t="shared" si="35"/>
        <v>166.44882114877092</v>
      </c>
    </row>
    <row r="326" spans="1:21" x14ac:dyDescent="0.2">
      <c r="A326" s="3">
        <v>45982</v>
      </c>
      <c r="B326" s="2">
        <v>86404.800000000003</v>
      </c>
      <c r="C326" s="2" t="s">
        <v>670</v>
      </c>
      <c r="D326" s="2">
        <v>35</v>
      </c>
      <c r="E326" s="2">
        <v>140</v>
      </c>
      <c r="F326" s="2">
        <v>1</v>
      </c>
      <c r="G326" s="2">
        <v>34</v>
      </c>
      <c r="H326" s="2" t="s">
        <v>671</v>
      </c>
      <c r="I326" s="2">
        <v>282</v>
      </c>
      <c r="J326" s="2">
        <v>1128</v>
      </c>
      <c r="K326" s="2">
        <v>1128</v>
      </c>
      <c r="L326" s="2">
        <v>-846</v>
      </c>
      <c r="M326" s="2">
        <v>-812</v>
      </c>
      <c r="N326" s="2" t="s">
        <v>17</v>
      </c>
      <c r="O326" s="2" t="s">
        <v>20</v>
      </c>
      <c r="P326">
        <f t="shared" si="30"/>
        <v>0.97142857142857142</v>
      </c>
      <c r="Q326">
        <f t="shared" si="31"/>
        <v>-3</v>
      </c>
      <c r="R326">
        <f t="shared" si="32"/>
        <v>1</v>
      </c>
      <c r="S326">
        <f t="shared" si="33"/>
        <v>-3</v>
      </c>
      <c r="T326">
        <f t="shared" si="34"/>
        <v>-2</v>
      </c>
      <c r="U326">
        <f t="shared" si="35"/>
        <v>164.44882114877092</v>
      </c>
    </row>
    <row r="327" spans="1:21" x14ac:dyDescent="0.2">
      <c r="A327" s="3">
        <v>45983</v>
      </c>
      <c r="B327" s="2">
        <v>84605.6</v>
      </c>
      <c r="C327" s="2" t="s">
        <v>672</v>
      </c>
      <c r="D327" s="2">
        <v>37</v>
      </c>
      <c r="E327" s="2">
        <v>148</v>
      </c>
      <c r="F327" s="2">
        <v>1</v>
      </c>
      <c r="G327" s="2">
        <v>36</v>
      </c>
      <c r="H327" s="2" t="s">
        <v>673</v>
      </c>
      <c r="I327" s="2">
        <v>43</v>
      </c>
      <c r="J327" s="2">
        <v>172</v>
      </c>
      <c r="K327" s="2">
        <v>1</v>
      </c>
      <c r="L327" s="2">
        <v>42</v>
      </c>
      <c r="M327" s="2">
        <v>78</v>
      </c>
      <c r="N327" s="2" t="s">
        <v>17</v>
      </c>
      <c r="O327" s="2" t="s">
        <v>17</v>
      </c>
      <c r="P327">
        <f t="shared" si="30"/>
        <v>0.97297297297297303</v>
      </c>
      <c r="Q327">
        <f t="shared" si="31"/>
        <v>0.97674418604651159</v>
      </c>
      <c r="R327">
        <f t="shared" si="32"/>
        <v>1</v>
      </c>
      <c r="S327">
        <f t="shared" si="33"/>
        <v>1</v>
      </c>
      <c r="T327">
        <f t="shared" si="34"/>
        <v>2</v>
      </c>
      <c r="U327">
        <f t="shared" si="35"/>
        <v>166.44882114877092</v>
      </c>
    </row>
    <row r="328" spans="1:21" x14ac:dyDescent="0.2">
      <c r="A328" s="3">
        <v>45984</v>
      </c>
      <c r="B328" s="2">
        <v>84630.3</v>
      </c>
      <c r="C328" s="2" t="s">
        <v>674</v>
      </c>
      <c r="D328" s="2">
        <v>49</v>
      </c>
      <c r="E328" s="2">
        <v>196</v>
      </c>
      <c r="F328" s="2">
        <v>196</v>
      </c>
      <c r="G328" s="2">
        <v>-147</v>
      </c>
      <c r="H328" s="2" t="s">
        <v>675</v>
      </c>
      <c r="I328" s="2">
        <v>41</v>
      </c>
      <c r="J328" s="2">
        <v>164</v>
      </c>
      <c r="K328" s="2">
        <v>1</v>
      </c>
      <c r="L328" s="2">
        <v>40</v>
      </c>
      <c r="M328" s="2">
        <v>-107</v>
      </c>
      <c r="N328" s="2" t="s">
        <v>20</v>
      </c>
      <c r="O328" s="2" t="s">
        <v>17</v>
      </c>
      <c r="P328">
        <f t="shared" si="30"/>
        <v>-3</v>
      </c>
      <c r="Q328">
        <f t="shared" si="31"/>
        <v>0.97560975609756095</v>
      </c>
      <c r="R328">
        <f t="shared" si="32"/>
        <v>-3</v>
      </c>
      <c r="S328">
        <f t="shared" si="33"/>
        <v>1</v>
      </c>
      <c r="T328">
        <f t="shared" si="34"/>
        <v>-2</v>
      </c>
      <c r="U328">
        <f t="shared" si="35"/>
        <v>164.44882114877092</v>
      </c>
    </row>
    <row r="329" spans="1:21" x14ac:dyDescent="0.2">
      <c r="A329" s="3">
        <v>45985</v>
      </c>
      <c r="B329" s="2">
        <v>86947.1</v>
      </c>
      <c r="C329" s="2" t="s">
        <v>676</v>
      </c>
      <c r="D329" s="2">
        <v>113</v>
      </c>
      <c r="E329" s="2">
        <v>452</v>
      </c>
      <c r="F329" s="2">
        <v>1</v>
      </c>
      <c r="G329" s="2">
        <v>112</v>
      </c>
      <c r="H329" s="2" t="s">
        <v>677</v>
      </c>
      <c r="I329" s="2">
        <v>35</v>
      </c>
      <c r="J329" s="2">
        <v>140</v>
      </c>
      <c r="K329" s="2">
        <v>1</v>
      </c>
      <c r="L329" s="2">
        <v>34</v>
      </c>
      <c r="M329" s="2">
        <v>146</v>
      </c>
      <c r="N329" s="2" t="s">
        <v>17</v>
      </c>
      <c r="O329" s="2" t="s">
        <v>17</v>
      </c>
      <c r="P329">
        <f t="shared" si="30"/>
        <v>0.99115044247787609</v>
      </c>
      <c r="Q329">
        <f t="shared" si="31"/>
        <v>0.97142857142857142</v>
      </c>
      <c r="R329">
        <f t="shared" si="32"/>
        <v>1</v>
      </c>
      <c r="S329">
        <f t="shared" si="33"/>
        <v>1</v>
      </c>
      <c r="T329">
        <f t="shared" si="34"/>
        <v>2</v>
      </c>
      <c r="U329">
        <f t="shared" si="35"/>
        <v>166.44882114877092</v>
      </c>
    </row>
    <row r="330" spans="1:21" x14ac:dyDescent="0.2">
      <c r="A330" s="3">
        <v>45986</v>
      </c>
      <c r="B330" s="2">
        <v>88626.1</v>
      </c>
      <c r="C330" s="2" t="s">
        <v>678</v>
      </c>
      <c r="D330" s="2">
        <v>104</v>
      </c>
      <c r="E330" s="2">
        <v>416</v>
      </c>
      <c r="F330" s="2">
        <v>1</v>
      </c>
      <c r="G330" s="2">
        <v>103</v>
      </c>
      <c r="H330" s="2" t="s">
        <v>679</v>
      </c>
      <c r="I330" s="2">
        <v>55</v>
      </c>
      <c r="J330" s="2">
        <v>220</v>
      </c>
      <c r="K330" s="2">
        <v>1</v>
      </c>
      <c r="L330" s="2">
        <v>54</v>
      </c>
      <c r="M330" s="2">
        <v>157</v>
      </c>
      <c r="N330" s="2" t="s">
        <v>17</v>
      </c>
      <c r="O330" s="2" t="s">
        <v>17</v>
      </c>
      <c r="P330">
        <f t="shared" si="30"/>
        <v>0.99038461538461542</v>
      </c>
      <c r="Q330">
        <f t="shared" si="31"/>
        <v>0.98181818181818181</v>
      </c>
      <c r="R330">
        <f t="shared" si="32"/>
        <v>1</v>
      </c>
      <c r="S330">
        <f t="shared" si="33"/>
        <v>1</v>
      </c>
      <c r="T330">
        <f t="shared" si="34"/>
        <v>2</v>
      </c>
      <c r="U330">
        <f t="shared" si="35"/>
        <v>168.44882114877092</v>
      </c>
    </row>
    <row r="331" spans="1:21" x14ac:dyDescent="0.2">
      <c r="A331" s="3">
        <v>45987</v>
      </c>
      <c r="B331" s="2">
        <v>87287.1</v>
      </c>
      <c r="C331" s="2" t="s">
        <v>680</v>
      </c>
      <c r="D331" s="2">
        <v>38</v>
      </c>
      <c r="E331" s="2">
        <v>152</v>
      </c>
      <c r="F331" s="2">
        <v>1</v>
      </c>
      <c r="G331" s="2">
        <v>37</v>
      </c>
      <c r="H331" s="2" t="s">
        <v>681</v>
      </c>
      <c r="I331" s="2">
        <v>43</v>
      </c>
      <c r="J331" s="2">
        <v>172</v>
      </c>
      <c r="K331" s="2">
        <v>1</v>
      </c>
      <c r="L331" s="2">
        <v>42</v>
      </c>
      <c r="M331" s="2">
        <v>79</v>
      </c>
      <c r="N331" s="2" t="s">
        <v>17</v>
      </c>
      <c r="O331" s="2" t="s">
        <v>17</v>
      </c>
      <c r="P331">
        <f t="shared" si="30"/>
        <v>0.97368421052631582</v>
      </c>
      <c r="Q331">
        <f t="shared" si="31"/>
        <v>0.97674418604651159</v>
      </c>
      <c r="R331">
        <f t="shared" si="32"/>
        <v>1</v>
      </c>
      <c r="S331">
        <f t="shared" si="33"/>
        <v>1</v>
      </c>
      <c r="T331">
        <f t="shared" si="34"/>
        <v>2</v>
      </c>
      <c r="U331">
        <f t="shared" si="35"/>
        <v>170.44882114877092</v>
      </c>
    </row>
    <row r="332" spans="1:21" x14ac:dyDescent="0.2">
      <c r="A332" s="3">
        <v>45988</v>
      </c>
      <c r="B332" s="2">
        <v>90100.4</v>
      </c>
      <c r="C332" s="2" t="s">
        <v>682</v>
      </c>
      <c r="D332" s="2">
        <v>85</v>
      </c>
      <c r="E332" s="2">
        <v>340</v>
      </c>
      <c r="F332" s="2">
        <v>340</v>
      </c>
      <c r="G332" s="2">
        <v>-255</v>
      </c>
      <c r="H332" s="2" t="s">
        <v>683</v>
      </c>
      <c r="I332" s="2">
        <v>46</v>
      </c>
      <c r="J332" s="2">
        <v>184</v>
      </c>
      <c r="K332" s="2">
        <v>1</v>
      </c>
      <c r="L332" s="2">
        <v>45</v>
      </c>
      <c r="M332" s="2">
        <v>-210</v>
      </c>
      <c r="N332" s="2" t="s">
        <v>20</v>
      </c>
      <c r="O332" s="2" t="s">
        <v>17</v>
      </c>
      <c r="P332">
        <f t="shared" si="30"/>
        <v>-3</v>
      </c>
      <c r="Q332">
        <f t="shared" si="31"/>
        <v>0.97826086956521741</v>
      </c>
      <c r="R332">
        <f t="shared" si="32"/>
        <v>-3</v>
      </c>
      <c r="S332">
        <f t="shared" si="33"/>
        <v>1</v>
      </c>
      <c r="T332">
        <f t="shared" si="34"/>
        <v>-2</v>
      </c>
      <c r="U332">
        <f t="shared" si="35"/>
        <v>168.44882114877092</v>
      </c>
    </row>
    <row r="333" spans="1:21" x14ac:dyDescent="0.2">
      <c r="A333" s="3">
        <v>45989</v>
      </c>
      <c r="B333" s="2">
        <v>91696.2</v>
      </c>
      <c r="C333" s="2" t="s">
        <v>684</v>
      </c>
      <c r="D333" s="2">
        <v>33</v>
      </c>
      <c r="E333" s="2">
        <v>132</v>
      </c>
      <c r="F333" s="2">
        <v>1</v>
      </c>
      <c r="G333" s="2">
        <v>32</v>
      </c>
      <c r="H333" s="2" t="s">
        <v>685</v>
      </c>
      <c r="I333" s="2">
        <v>41</v>
      </c>
      <c r="J333" s="2">
        <v>164</v>
      </c>
      <c r="K333" s="2">
        <v>1</v>
      </c>
      <c r="L333" s="2">
        <v>40</v>
      </c>
      <c r="M333" s="2">
        <v>72</v>
      </c>
      <c r="N333" s="2" t="s">
        <v>17</v>
      </c>
      <c r="O333" s="2" t="s">
        <v>17</v>
      </c>
      <c r="P333">
        <f t="shared" si="30"/>
        <v>0.96969696969696972</v>
      </c>
      <c r="Q333">
        <f t="shared" si="31"/>
        <v>0.97560975609756095</v>
      </c>
      <c r="R333">
        <f t="shared" si="32"/>
        <v>1</v>
      </c>
      <c r="S333">
        <f t="shared" si="33"/>
        <v>1</v>
      </c>
      <c r="T333">
        <f t="shared" si="34"/>
        <v>2</v>
      </c>
      <c r="U333">
        <f t="shared" si="35"/>
        <v>170.44882114877092</v>
      </c>
    </row>
    <row r="334" spans="1:21" x14ac:dyDescent="0.2">
      <c r="A334" s="3">
        <v>45990</v>
      </c>
      <c r="B334" s="2">
        <v>90849.600000000006</v>
      </c>
      <c r="C334" s="2" t="s">
        <v>686</v>
      </c>
      <c r="D334" s="2">
        <v>36</v>
      </c>
      <c r="E334" s="2">
        <v>144</v>
      </c>
      <c r="F334" s="2">
        <v>1</v>
      </c>
      <c r="G334" s="2">
        <v>35</v>
      </c>
      <c r="H334" s="2" t="s">
        <v>687</v>
      </c>
      <c r="I334" s="2">
        <v>44</v>
      </c>
      <c r="J334" s="2">
        <v>176</v>
      </c>
      <c r="K334" s="2">
        <v>1</v>
      </c>
      <c r="L334" s="2">
        <v>43</v>
      </c>
      <c r="M334" s="2">
        <v>78</v>
      </c>
      <c r="N334" s="2" t="s">
        <v>17</v>
      </c>
      <c r="O334" s="2" t="s">
        <v>17</v>
      </c>
      <c r="P334">
        <f t="shared" si="30"/>
        <v>0.97222222222222221</v>
      </c>
      <c r="Q334">
        <f t="shared" si="31"/>
        <v>0.97727272727272729</v>
      </c>
      <c r="R334">
        <f t="shared" si="32"/>
        <v>1</v>
      </c>
      <c r="S334">
        <f t="shared" si="33"/>
        <v>1</v>
      </c>
      <c r="T334">
        <f t="shared" si="34"/>
        <v>2</v>
      </c>
      <c r="U334">
        <f t="shared" si="35"/>
        <v>172.44882114877092</v>
      </c>
    </row>
    <row r="335" spans="1:21" x14ac:dyDescent="0.2">
      <c r="A335" s="3">
        <v>45991</v>
      </c>
      <c r="B335" s="2">
        <v>90662.8</v>
      </c>
      <c r="C335" s="2" t="s">
        <v>688</v>
      </c>
      <c r="D335" s="2">
        <v>35</v>
      </c>
      <c r="E335" s="2">
        <v>140</v>
      </c>
      <c r="F335" s="2">
        <v>1</v>
      </c>
      <c r="G335" s="2">
        <v>34</v>
      </c>
      <c r="H335" s="2" t="s">
        <v>689</v>
      </c>
      <c r="I335" s="2">
        <v>44</v>
      </c>
      <c r="J335" s="2">
        <v>176</v>
      </c>
      <c r="K335" s="2">
        <v>1</v>
      </c>
      <c r="L335" s="2">
        <v>43</v>
      </c>
      <c r="M335" s="2">
        <v>77</v>
      </c>
      <c r="N335" s="2" t="s">
        <v>17</v>
      </c>
      <c r="O335" s="2" t="s">
        <v>17</v>
      </c>
      <c r="P335">
        <f t="shared" si="30"/>
        <v>0.97142857142857142</v>
      </c>
      <c r="Q335">
        <f t="shared" si="31"/>
        <v>0.97727272727272729</v>
      </c>
      <c r="R335">
        <f t="shared" si="32"/>
        <v>1</v>
      </c>
      <c r="S335">
        <f t="shared" si="33"/>
        <v>1</v>
      </c>
      <c r="T335">
        <f t="shared" si="34"/>
        <v>2</v>
      </c>
      <c r="U335">
        <f t="shared" si="35"/>
        <v>174.44882114877092</v>
      </c>
    </row>
    <row r="336" spans="1:21" x14ac:dyDescent="0.2">
      <c r="A336" s="3">
        <v>45992</v>
      </c>
      <c r="B336" s="2">
        <v>91436.6</v>
      </c>
      <c r="C336" s="2" t="s">
        <v>690</v>
      </c>
      <c r="D336" s="2">
        <v>96</v>
      </c>
      <c r="E336" s="2">
        <v>384</v>
      </c>
      <c r="F336" s="2">
        <v>1</v>
      </c>
      <c r="G336" s="2">
        <v>95</v>
      </c>
      <c r="H336" s="2" t="s">
        <v>691</v>
      </c>
      <c r="I336" s="2">
        <v>36</v>
      </c>
      <c r="J336" s="2">
        <v>144</v>
      </c>
      <c r="K336" s="2">
        <v>144</v>
      </c>
      <c r="L336" s="2">
        <v>-108</v>
      </c>
      <c r="M336" s="2">
        <v>-13</v>
      </c>
      <c r="N336" s="2" t="s">
        <v>17</v>
      </c>
      <c r="O336" s="2" t="s">
        <v>20</v>
      </c>
      <c r="P336">
        <f t="shared" si="30"/>
        <v>0.98958333333333337</v>
      </c>
      <c r="Q336">
        <f t="shared" si="31"/>
        <v>-3</v>
      </c>
      <c r="R336">
        <f t="shared" si="32"/>
        <v>1</v>
      </c>
      <c r="S336">
        <f t="shared" si="33"/>
        <v>-3</v>
      </c>
      <c r="T336">
        <f t="shared" si="34"/>
        <v>-2</v>
      </c>
      <c r="U336">
        <f t="shared" si="35"/>
        <v>172.44882114877092</v>
      </c>
    </row>
    <row r="337" spans="1:21" x14ac:dyDescent="0.2">
      <c r="A337" s="3">
        <v>45993</v>
      </c>
      <c r="B337" s="2">
        <v>85254.8</v>
      </c>
      <c r="C337" s="2" t="s">
        <v>692</v>
      </c>
      <c r="D337" s="2">
        <v>46</v>
      </c>
      <c r="E337" s="2">
        <v>184</v>
      </c>
      <c r="F337" s="2">
        <v>1</v>
      </c>
      <c r="G337" s="2">
        <v>45</v>
      </c>
      <c r="H337" s="2" t="s">
        <v>693</v>
      </c>
      <c r="I337" s="2">
        <v>55</v>
      </c>
      <c r="J337" s="2">
        <v>220</v>
      </c>
      <c r="K337" s="2">
        <v>1</v>
      </c>
      <c r="L337" s="2">
        <v>54</v>
      </c>
      <c r="M337" s="2">
        <v>99</v>
      </c>
      <c r="N337" s="2" t="s">
        <v>17</v>
      </c>
      <c r="O337" s="2" t="s">
        <v>17</v>
      </c>
      <c r="P337">
        <f t="shared" si="30"/>
        <v>0.97826086956521741</v>
      </c>
      <c r="Q337">
        <f t="shared" si="31"/>
        <v>0.98181818181818181</v>
      </c>
      <c r="R337">
        <f t="shared" si="32"/>
        <v>1</v>
      </c>
      <c r="S337">
        <f t="shared" si="33"/>
        <v>1</v>
      </c>
      <c r="T337">
        <f t="shared" si="34"/>
        <v>2</v>
      </c>
      <c r="U337">
        <f t="shared" si="35"/>
        <v>174.44882114877092</v>
      </c>
    </row>
    <row r="338" spans="1:21" x14ac:dyDescent="0.2">
      <c r="A338" s="3">
        <v>45994</v>
      </c>
      <c r="B338" s="2">
        <v>91978.2</v>
      </c>
      <c r="C338" s="2" t="s">
        <v>694</v>
      </c>
      <c r="D338" s="2">
        <v>52</v>
      </c>
      <c r="E338" s="2">
        <v>208</v>
      </c>
      <c r="F338" s="2">
        <v>1</v>
      </c>
      <c r="G338" s="2">
        <v>51</v>
      </c>
      <c r="H338" s="2" t="s">
        <v>695</v>
      </c>
      <c r="I338" s="2">
        <v>30</v>
      </c>
      <c r="J338" s="2">
        <v>120</v>
      </c>
      <c r="K338" s="2">
        <v>1</v>
      </c>
      <c r="L338" s="2">
        <v>29</v>
      </c>
      <c r="M338" s="2">
        <v>80</v>
      </c>
      <c r="N338" s="2" t="s">
        <v>17</v>
      </c>
      <c r="O338" s="2" t="s">
        <v>17</v>
      </c>
      <c r="P338">
        <f t="shared" si="30"/>
        <v>0.98076923076923073</v>
      </c>
      <c r="Q338">
        <f t="shared" si="31"/>
        <v>0.96666666666666667</v>
      </c>
      <c r="R338">
        <f t="shared" si="32"/>
        <v>1</v>
      </c>
      <c r="S338">
        <f t="shared" si="33"/>
        <v>1</v>
      </c>
      <c r="T338">
        <f t="shared" si="34"/>
        <v>2</v>
      </c>
      <c r="U338">
        <f t="shared" si="35"/>
        <v>176.44882114877092</v>
      </c>
    </row>
    <row r="339" spans="1:21" x14ac:dyDescent="0.2">
      <c r="A339" s="3">
        <v>45995</v>
      </c>
      <c r="B339" s="2">
        <v>92668.3</v>
      </c>
      <c r="C339" s="2" t="s">
        <v>696</v>
      </c>
      <c r="D339" s="2">
        <v>78</v>
      </c>
      <c r="E339" s="2">
        <v>312</v>
      </c>
      <c r="F339" s="2">
        <v>1</v>
      </c>
      <c r="G339" s="2">
        <v>77</v>
      </c>
      <c r="H339" s="2" t="s">
        <v>697</v>
      </c>
      <c r="I339" s="2">
        <v>39</v>
      </c>
      <c r="J339" s="2">
        <v>156</v>
      </c>
      <c r="K339" s="2">
        <v>1</v>
      </c>
      <c r="L339" s="2">
        <v>38</v>
      </c>
      <c r="M339" s="2">
        <v>115</v>
      </c>
      <c r="N339" s="2" t="s">
        <v>17</v>
      </c>
      <c r="O339" s="2" t="s">
        <v>17</v>
      </c>
      <c r="P339">
        <f t="shared" si="30"/>
        <v>0.98717948717948723</v>
      </c>
      <c r="Q339">
        <f t="shared" si="31"/>
        <v>0.97435897435897434</v>
      </c>
      <c r="R339">
        <f t="shared" si="32"/>
        <v>1</v>
      </c>
      <c r="S339">
        <f t="shared" si="33"/>
        <v>1</v>
      </c>
      <c r="T339">
        <f t="shared" si="34"/>
        <v>2</v>
      </c>
      <c r="U339">
        <f t="shared" si="35"/>
        <v>178.44882114877092</v>
      </c>
    </row>
    <row r="340" spans="1:21" x14ac:dyDescent="0.2">
      <c r="A340" s="3">
        <v>45996</v>
      </c>
      <c r="B340" s="2">
        <v>92129.1</v>
      </c>
      <c r="C340" s="2" t="s">
        <v>698</v>
      </c>
      <c r="D340" s="2">
        <v>51</v>
      </c>
      <c r="E340" s="2">
        <v>204</v>
      </c>
      <c r="F340" s="2">
        <v>1</v>
      </c>
      <c r="G340" s="2">
        <v>50</v>
      </c>
      <c r="H340" s="2" t="s">
        <v>699</v>
      </c>
      <c r="I340" s="2">
        <v>58</v>
      </c>
      <c r="J340" s="2">
        <v>232</v>
      </c>
      <c r="K340" s="2">
        <v>1</v>
      </c>
      <c r="L340" s="2">
        <v>57</v>
      </c>
      <c r="M340" s="2">
        <v>107</v>
      </c>
      <c r="N340" s="2" t="s">
        <v>17</v>
      </c>
      <c r="O340" s="2" t="s">
        <v>17</v>
      </c>
      <c r="P340">
        <f t="shared" si="30"/>
        <v>0.98039215686274506</v>
      </c>
      <c r="Q340">
        <f t="shared" si="31"/>
        <v>0.98275862068965514</v>
      </c>
      <c r="R340">
        <f t="shared" si="32"/>
        <v>1</v>
      </c>
      <c r="S340">
        <f t="shared" si="33"/>
        <v>1</v>
      </c>
      <c r="T340">
        <f t="shared" si="34"/>
        <v>2</v>
      </c>
      <c r="U340">
        <f t="shared" si="35"/>
        <v>180.44882114877092</v>
      </c>
    </row>
    <row r="341" spans="1:21" x14ac:dyDescent="0.2">
      <c r="A341" s="3">
        <v>45997</v>
      </c>
      <c r="B341" s="2">
        <v>88877.2</v>
      </c>
      <c r="C341" s="2" t="s">
        <v>700</v>
      </c>
      <c r="D341" s="2">
        <v>35</v>
      </c>
      <c r="E341" s="2">
        <v>140</v>
      </c>
      <c r="F341" s="2">
        <v>1</v>
      </c>
      <c r="G341" s="2">
        <v>34</v>
      </c>
      <c r="H341" s="2" t="s">
        <v>701</v>
      </c>
      <c r="I341" s="2">
        <v>69</v>
      </c>
      <c r="J341" s="2">
        <v>276</v>
      </c>
      <c r="K341" s="2">
        <v>1</v>
      </c>
      <c r="L341" s="2">
        <v>68</v>
      </c>
      <c r="M341" s="2">
        <v>102</v>
      </c>
      <c r="N341" s="2" t="s">
        <v>17</v>
      </c>
      <c r="O341" s="2" t="s">
        <v>17</v>
      </c>
      <c r="P341">
        <f t="shared" si="30"/>
        <v>0.97142857142857142</v>
      </c>
      <c r="Q341">
        <f t="shared" si="31"/>
        <v>0.98550724637681164</v>
      </c>
      <c r="R341">
        <f t="shared" si="32"/>
        <v>1</v>
      </c>
      <c r="S341">
        <f t="shared" si="33"/>
        <v>1</v>
      </c>
      <c r="T341">
        <f t="shared" si="34"/>
        <v>2</v>
      </c>
      <c r="U341">
        <f t="shared" si="35"/>
        <v>182.44882114877092</v>
      </c>
    </row>
    <row r="342" spans="1:21" x14ac:dyDescent="0.2">
      <c r="A342" s="3">
        <v>45998</v>
      </c>
      <c r="B342" s="2">
        <v>89653.3</v>
      </c>
      <c r="C342" s="2" t="s">
        <v>702</v>
      </c>
      <c r="D342" s="2">
        <v>40</v>
      </c>
      <c r="E342" s="2">
        <v>160</v>
      </c>
      <c r="F342" s="2">
        <v>1</v>
      </c>
      <c r="G342" s="2">
        <v>39</v>
      </c>
      <c r="H342" s="2" t="s">
        <v>703</v>
      </c>
      <c r="I342" s="2">
        <v>35</v>
      </c>
      <c r="J342" s="2">
        <v>140</v>
      </c>
      <c r="K342" s="2">
        <v>1</v>
      </c>
      <c r="L342" s="2">
        <v>34</v>
      </c>
      <c r="M342" s="2">
        <v>73</v>
      </c>
      <c r="N342" s="2" t="s">
        <v>17</v>
      </c>
      <c r="O342" s="2" t="s">
        <v>17</v>
      </c>
      <c r="P342">
        <f t="shared" si="30"/>
        <v>0.97499999999999998</v>
      </c>
      <c r="Q342">
        <f t="shared" si="31"/>
        <v>0.97142857142857142</v>
      </c>
      <c r="R342">
        <f t="shared" si="32"/>
        <v>1</v>
      </c>
      <c r="S342">
        <f t="shared" si="33"/>
        <v>1</v>
      </c>
      <c r="T342">
        <f t="shared" si="34"/>
        <v>2</v>
      </c>
      <c r="U342">
        <f t="shared" si="35"/>
        <v>184.44882114877092</v>
      </c>
    </row>
    <row r="343" spans="1:21" x14ac:dyDescent="0.2">
      <c r="A343" s="3">
        <v>45999</v>
      </c>
      <c r="B343" s="2">
        <v>91453.1</v>
      </c>
      <c r="C343" s="2" t="s">
        <v>704</v>
      </c>
      <c r="D343" s="2">
        <v>120</v>
      </c>
      <c r="E343" s="2">
        <v>480</v>
      </c>
      <c r="F343" s="2">
        <v>1</v>
      </c>
      <c r="G343" s="2">
        <v>119</v>
      </c>
      <c r="H343" s="2" t="s">
        <v>705</v>
      </c>
      <c r="I343" s="2">
        <v>32</v>
      </c>
      <c r="J343" s="2">
        <v>128</v>
      </c>
      <c r="K343" s="2">
        <v>128</v>
      </c>
      <c r="L343" s="2">
        <v>-96</v>
      </c>
      <c r="M343" s="2">
        <v>23</v>
      </c>
      <c r="N343" s="2" t="s">
        <v>17</v>
      </c>
      <c r="O343" s="2" t="s">
        <v>20</v>
      </c>
      <c r="P343">
        <f t="shared" si="30"/>
        <v>0.9916666666666667</v>
      </c>
      <c r="Q343">
        <f t="shared" si="31"/>
        <v>-3</v>
      </c>
      <c r="R343">
        <f t="shared" si="32"/>
        <v>1</v>
      </c>
      <c r="S343">
        <f t="shared" si="33"/>
        <v>-3</v>
      </c>
      <c r="T343">
        <f t="shared" si="34"/>
        <v>-2</v>
      </c>
      <c r="U343">
        <f t="shared" si="35"/>
        <v>182.44882114877092</v>
      </c>
    </row>
    <row r="344" spans="1:21" x14ac:dyDescent="0.2">
      <c r="A344" s="3">
        <v>46000</v>
      </c>
      <c r="B344" s="2">
        <v>89998.1</v>
      </c>
      <c r="C344" s="2" t="s">
        <v>706</v>
      </c>
      <c r="D344" s="2">
        <v>39.5</v>
      </c>
      <c r="E344" s="2">
        <v>158</v>
      </c>
      <c r="F344" s="2">
        <v>1</v>
      </c>
      <c r="G344" s="2">
        <v>38.5</v>
      </c>
      <c r="H344" s="2" t="s">
        <v>707</v>
      </c>
      <c r="I344" s="2">
        <v>110</v>
      </c>
      <c r="J344" s="2">
        <v>440</v>
      </c>
      <c r="K344" s="2">
        <v>1</v>
      </c>
      <c r="L344" s="2">
        <v>109</v>
      </c>
      <c r="M344" s="2">
        <v>147.5</v>
      </c>
      <c r="N344" s="2" t="s">
        <v>17</v>
      </c>
      <c r="O344" s="2" t="s">
        <v>17</v>
      </c>
      <c r="P344">
        <f t="shared" si="30"/>
        <v>0.97468354430379744</v>
      </c>
      <c r="Q344">
        <f t="shared" si="31"/>
        <v>0.99090909090909096</v>
      </c>
      <c r="R344">
        <f t="shared" si="32"/>
        <v>1</v>
      </c>
      <c r="S344">
        <f t="shared" si="33"/>
        <v>1</v>
      </c>
      <c r="T344">
        <f t="shared" si="34"/>
        <v>2</v>
      </c>
      <c r="U344">
        <f t="shared" si="35"/>
        <v>184.44882114877092</v>
      </c>
    </row>
    <row r="345" spans="1:21" x14ac:dyDescent="0.2">
      <c r="A345" s="3">
        <v>46001</v>
      </c>
      <c r="B345" s="2">
        <v>93870</v>
      </c>
      <c r="C345" s="2" t="s">
        <v>708</v>
      </c>
      <c r="D345" s="2">
        <v>45</v>
      </c>
      <c r="E345" s="2">
        <v>180</v>
      </c>
      <c r="F345" s="2">
        <v>1</v>
      </c>
      <c r="G345" s="2">
        <v>44</v>
      </c>
      <c r="H345" s="2" t="s">
        <v>709</v>
      </c>
      <c r="I345" s="2">
        <v>31</v>
      </c>
      <c r="J345" s="2">
        <v>124</v>
      </c>
      <c r="K345" s="2">
        <v>1</v>
      </c>
      <c r="L345" s="2">
        <v>30</v>
      </c>
      <c r="M345" s="2">
        <v>74</v>
      </c>
      <c r="N345" s="2" t="s">
        <v>17</v>
      </c>
      <c r="O345" s="2" t="s">
        <v>17</v>
      </c>
      <c r="P345">
        <f t="shared" si="30"/>
        <v>0.97777777777777775</v>
      </c>
      <c r="Q345">
        <f t="shared" si="31"/>
        <v>0.967741935483871</v>
      </c>
      <c r="R345">
        <f t="shared" si="32"/>
        <v>1</v>
      </c>
      <c r="S345">
        <f t="shared" si="33"/>
        <v>1</v>
      </c>
      <c r="T345">
        <f t="shared" si="34"/>
        <v>2</v>
      </c>
      <c r="U345">
        <f t="shared" si="35"/>
        <v>186.44882114877092</v>
      </c>
    </row>
    <row r="346" spans="1:21" x14ac:dyDescent="0.2">
      <c r="A346" s="3">
        <v>46002</v>
      </c>
      <c r="B346" s="2">
        <v>92910.2</v>
      </c>
      <c r="C346" s="2" t="s">
        <v>710</v>
      </c>
      <c r="D346" s="2">
        <v>45</v>
      </c>
      <c r="E346" s="2">
        <v>180</v>
      </c>
      <c r="F346" s="2">
        <v>1</v>
      </c>
      <c r="G346" s="2">
        <v>44</v>
      </c>
      <c r="H346" s="2" t="s">
        <v>711</v>
      </c>
      <c r="I346" s="2">
        <v>35</v>
      </c>
      <c r="J346" s="2">
        <v>140</v>
      </c>
      <c r="K346" s="2">
        <v>1</v>
      </c>
      <c r="L346" s="2">
        <v>34</v>
      </c>
      <c r="M346" s="2">
        <v>78</v>
      </c>
      <c r="N346" s="2" t="s">
        <v>17</v>
      </c>
      <c r="O346" s="2" t="s">
        <v>17</v>
      </c>
      <c r="P346">
        <f t="shared" si="30"/>
        <v>0.97777777777777775</v>
      </c>
      <c r="Q346">
        <f t="shared" si="31"/>
        <v>0.97142857142857142</v>
      </c>
      <c r="R346">
        <f t="shared" si="32"/>
        <v>1</v>
      </c>
      <c r="S346">
        <f t="shared" si="33"/>
        <v>1</v>
      </c>
      <c r="T346">
        <f t="shared" si="34"/>
        <v>2</v>
      </c>
      <c r="U346">
        <f t="shared" si="35"/>
        <v>188.44882114877092</v>
      </c>
    </row>
    <row r="347" spans="1:21" x14ac:dyDescent="0.2">
      <c r="A347" s="3">
        <v>46003</v>
      </c>
      <c r="B347" s="2">
        <v>90797.7</v>
      </c>
      <c r="C347" s="2" t="s">
        <v>712</v>
      </c>
      <c r="D347" s="2">
        <v>39</v>
      </c>
      <c r="E347" s="2">
        <v>156</v>
      </c>
      <c r="F347" s="2">
        <v>156</v>
      </c>
      <c r="G347" s="2">
        <v>-117</v>
      </c>
      <c r="H347" s="2" t="s">
        <v>713</v>
      </c>
      <c r="I347" s="2">
        <v>45</v>
      </c>
      <c r="J347" s="2">
        <v>180</v>
      </c>
      <c r="K347" s="2">
        <v>1</v>
      </c>
      <c r="L347" s="2">
        <v>44</v>
      </c>
      <c r="M347" s="2">
        <v>-73</v>
      </c>
      <c r="N347" s="2" t="s">
        <v>20</v>
      </c>
      <c r="O347" s="2" t="s">
        <v>17</v>
      </c>
      <c r="P347">
        <f t="shared" si="30"/>
        <v>-3</v>
      </c>
      <c r="Q347">
        <f t="shared" si="31"/>
        <v>0.97777777777777775</v>
      </c>
      <c r="R347">
        <f t="shared" si="32"/>
        <v>-3</v>
      </c>
      <c r="S347">
        <f t="shared" si="33"/>
        <v>1</v>
      </c>
      <c r="T347">
        <f t="shared" si="34"/>
        <v>-2</v>
      </c>
      <c r="U347">
        <f t="shared" si="35"/>
        <v>186.44882114877092</v>
      </c>
    </row>
    <row r="348" spans="1:21" x14ac:dyDescent="0.2">
      <c r="A348" s="3">
        <v>46004</v>
      </c>
      <c r="B348" s="2">
        <v>90276.7</v>
      </c>
      <c r="C348" s="2" t="s">
        <v>714</v>
      </c>
      <c r="D348" s="2">
        <v>31</v>
      </c>
      <c r="E348" s="2">
        <v>124</v>
      </c>
      <c r="F348" s="2">
        <v>1</v>
      </c>
      <c r="G348" s="2">
        <v>30</v>
      </c>
      <c r="H348" s="2" t="s">
        <v>715</v>
      </c>
      <c r="I348" s="2">
        <v>41</v>
      </c>
      <c r="J348" s="2">
        <v>164</v>
      </c>
      <c r="K348" s="2">
        <v>1</v>
      </c>
      <c r="L348" s="2">
        <v>40</v>
      </c>
      <c r="M348" s="2">
        <v>70</v>
      </c>
      <c r="N348" s="2" t="s">
        <v>17</v>
      </c>
      <c r="O348" s="2" t="s">
        <v>17</v>
      </c>
      <c r="P348">
        <f t="shared" si="30"/>
        <v>0.967741935483871</v>
      </c>
      <c r="Q348">
        <f t="shared" si="31"/>
        <v>0.97560975609756095</v>
      </c>
      <c r="R348">
        <f t="shared" si="32"/>
        <v>1</v>
      </c>
      <c r="S348">
        <f t="shared" si="33"/>
        <v>1</v>
      </c>
      <c r="T348">
        <f t="shared" si="34"/>
        <v>2</v>
      </c>
      <c r="U348">
        <f t="shared" si="35"/>
        <v>188.44882114877092</v>
      </c>
    </row>
    <row r="349" spans="1:21" x14ac:dyDescent="0.2">
      <c r="A349" s="3">
        <v>46005</v>
      </c>
      <c r="B349" s="2">
        <v>90136.9</v>
      </c>
      <c r="C349" s="2" t="s">
        <v>716</v>
      </c>
      <c r="D349" s="2">
        <v>167</v>
      </c>
      <c r="E349" s="2">
        <v>668</v>
      </c>
      <c r="F349" s="2">
        <v>1</v>
      </c>
      <c r="G349" s="2">
        <v>166</v>
      </c>
      <c r="H349" s="2" t="s">
        <v>717</v>
      </c>
      <c r="I349" s="2">
        <v>33</v>
      </c>
      <c r="J349" s="2">
        <v>132</v>
      </c>
      <c r="K349" s="2">
        <v>1</v>
      </c>
      <c r="L349" s="2">
        <v>32</v>
      </c>
      <c r="M349" s="2">
        <v>198</v>
      </c>
      <c r="N349" s="2" t="s">
        <v>17</v>
      </c>
      <c r="O349" s="2" t="s">
        <v>17</v>
      </c>
      <c r="P349">
        <f t="shared" si="30"/>
        <v>0.99401197604790414</v>
      </c>
      <c r="Q349">
        <f t="shared" si="31"/>
        <v>0.96969696969696972</v>
      </c>
      <c r="R349">
        <f t="shared" si="32"/>
        <v>1</v>
      </c>
      <c r="S349">
        <f t="shared" si="33"/>
        <v>1</v>
      </c>
      <c r="T349">
        <f t="shared" si="34"/>
        <v>2</v>
      </c>
      <c r="U349">
        <f t="shared" si="35"/>
        <v>190.44882114877092</v>
      </c>
    </row>
    <row r="350" spans="1:21" x14ac:dyDescent="0.2">
      <c r="A350" s="3">
        <v>46006</v>
      </c>
      <c r="B350" s="2">
        <v>88954.8</v>
      </c>
      <c r="C350" s="2" t="s">
        <v>718</v>
      </c>
      <c r="D350" s="2">
        <v>46</v>
      </c>
      <c r="E350" s="2">
        <v>184</v>
      </c>
      <c r="F350" s="2">
        <v>1</v>
      </c>
      <c r="G350" s="2">
        <v>45</v>
      </c>
      <c r="H350" s="2" t="s">
        <v>719</v>
      </c>
      <c r="I350" s="2">
        <v>122</v>
      </c>
      <c r="J350" s="2">
        <v>488</v>
      </c>
      <c r="K350" s="2">
        <v>1</v>
      </c>
      <c r="L350" s="2">
        <v>121</v>
      </c>
      <c r="M350" s="2">
        <v>166</v>
      </c>
      <c r="N350" s="2" t="s">
        <v>17</v>
      </c>
      <c r="O350" s="2" t="s">
        <v>17</v>
      </c>
      <c r="P350">
        <f t="shared" si="30"/>
        <v>0.97826086956521741</v>
      </c>
      <c r="Q350">
        <f t="shared" si="31"/>
        <v>0.99180327868852458</v>
      </c>
      <c r="R350">
        <f t="shared" si="32"/>
        <v>1</v>
      </c>
      <c r="S350">
        <f t="shared" si="33"/>
        <v>1</v>
      </c>
      <c r="T350">
        <f t="shared" si="34"/>
        <v>2</v>
      </c>
      <c r="U350">
        <f t="shared" si="35"/>
        <v>192.44882114877092</v>
      </c>
    </row>
    <row r="351" spans="1:21" x14ac:dyDescent="0.2">
      <c r="A351" s="3">
        <v>46007</v>
      </c>
      <c r="B351" s="2">
        <v>86171.7</v>
      </c>
      <c r="C351" s="2" t="s">
        <v>720</v>
      </c>
      <c r="D351" s="2">
        <v>32</v>
      </c>
      <c r="E351" s="2">
        <v>128</v>
      </c>
      <c r="F351" s="2">
        <v>1</v>
      </c>
      <c r="G351" s="2">
        <v>31</v>
      </c>
      <c r="H351" s="2" t="s">
        <v>721</v>
      </c>
      <c r="I351" s="2">
        <v>88</v>
      </c>
      <c r="J351" s="2">
        <v>352</v>
      </c>
      <c r="K351" s="2">
        <v>1</v>
      </c>
      <c r="L351" s="2">
        <v>87</v>
      </c>
      <c r="M351" s="2">
        <v>118</v>
      </c>
      <c r="N351" s="2" t="s">
        <v>17</v>
      </c>
      <c r="O351" s="2" t="s">
        <v>17</v>
      </c>
      <c r="P351">
        <f t="shared" si="30"/>
        <v>0.96875</v>
      </c>
      <c r="Q351">
        <f t="shared" si="31"/>
        <v>0.98863636363636365</v>
      </c>
      <c r="R351">
        <f t="shared" si="32"/>
        <v>1</v>
      </c>
      <c r="S351">
        <f t="shared" si="33"/>
        <v>1</v>
      </c>
      <c r="T351">
        <f t="shared" si="34"/>
        <v>2</v>
      </c>
      <c r="U351">
        <f t="shared" si="35"/>
        <v>194.44882114877092</v>
      </c>
    </row>
    <row r="352" spans="1:21" x14ac:dyDescent="0.2">
      <c r="A352" s="3">
        <v>46008</v>
      </c>
      <c r="B352" s="2">
        <v>87770.1</v>
      </c>
      <c r="C352" s="2" t="s">
        <v>722</v>
      </c>
      <c r="D352" s="2">
        <v>46</v>
      </c>
      <c r="E352" s="2">
        <v>184</v>
      </c>
      <c r="F352" s="2">
        <v>1</v>
      </c>
      <c r="G352" s="2">
        <v>45</v>
      </c>
      <c r="H352" s="2" t="s">
        <v>723</v>
      </c>
      <c r="I352" s="2">
        <v>39</v>
      </c>
      <c r="J352" s="2">
        <v>156</v>
      </c>
      <c r="K352" s="2">
        <v>1</v>
      </c>
      <c r="L352" s="2">
        <v>38</v>
      </c>
      <c r="M352" s="2">
        <v>83</v>
      </c>
      <c r="N352" s="2" t="s">
        <v>17</v>
      </c>
      <c r="O352" s="2" t="s">
        <v>17</v>
      </c>
      <c r="P352">
        <f t="shared" si="30"/>
        <v>0.97826086956521741</v>
      </c>
      <c r="Q352">
        <f t="shared" si="31"/>
        <v>0.97435897435897434</v>
      </c>
      <c r="R352">
        <f t="shared" si="32"/>
        <v>1</v>
      </c>
      <c r="S352">
        <f t="shared" si="33"/>
        <v>1</v>
      </c>
      <c r="T352">
        <f t="shared" si="34"/>
        <v>2</v>
      </c>
      <c r="U352">
        <f t="shared" si="35"/>
        <v>196.44882114877092</v>
      </c>
    </row>
    <row r="353" spans="1:21" x14ac:dyDescent="0.2">
      <c r="A353" s="3">
        <v>46009</v>
      </c>
      <c r="B353" s="2">
        <v>85784.2</v>
      </c>
      <c r="C353" s="2" t="s">
        <v>724</v>
      </c>
      <c r="D353" s="2">
        <v>43</v>
      </c>
      <c r="E353" s="2">
        <v>172</v>
      </c>
      <c r="F353" s="2">
        <v>1</v>
      </c>
      <c r="G353" s="2">
        <v>42</v>
      </c>
      <c r="H353" s="2" t="s">
        <v>725</v>
      </c>
      <c r="I353" s="2">
        <v>59</v>
      </c>
      <c r="J353" s="2">
        <v>236</v>
      </c>
      <c r="K353" s="2">
        <v>1</v>
      </c>
      <c r="L353" s="2">
        <v>58</v>
      </c>
      <c r="M353" s="2">
        <v>100</v>
      </c>
      <c r="N353" s="2" t="s">
        <v>17</v>
      </c>
      <c r="O353" s="2" t="s">
        <v>17</v>
      </c>
      <c r="P353">
        <f t="shared" si="30"/>
        <v>0.97674418604651159</v>
      </c>
      <c r="Q353">
        <f t="shared" si="31"/>
        <v>0.98305084745762716</v>
      </c>
      <c r="R353">
        <f t="shared" si="32"/>
        <v>1</v>
      </c>
      <c r="S353">
        <f t="shared" si="33"/>
        <v>1</v>
      </c>
      <c r="T353">
        <f t="shared" si="34"/>
        <v>2</v>
      </c>
      <c r="U353">
        <f t="shared" si="35"/>
        <v>198.44882114877092</v>
      </c>
    </row>
    <row r="354" spans="1:21" x14ac:dyDescent="0.2">
      <c r="A354" s="3">
        <v>46010</v>
      </c>
      <c r="B354" s="2">
        <v>85896</v>
      </c>
      <c r="C354" s="2" t="s">
        <v>726</v>
      </c>
      <c r="D354" s="2">
        <v>41</v>
      </c>
      <c r="E354" s="2">
        <v>164</v>
      </c>
      <c r="F354" s="2">
        <v>164</v>
      </c>
      <c r="G354" s="2">
        <v>-123</v>
      </c>
      <c r="H354" s="2" t="s">
        <v>727</v>
      </c>
      <c r="I354" s="2">
        <v>35</v>
      </c>
      <c r="J354" s="2">
        <v>140</v>
      </c>
      <c r="K354" s="2">
        <v>1</v>
      </c>
      <c r="L354" s="2">
        <v>34</v>
      </c>
      <c r="M354" s="2">
        <v>-89</v>
      </c>
      <c r="N354" s="2" t="s">
        <v>20</v>
      </c>
      <c r="O354" s="2" t="s">
        <v>17</v>
      </c>
      <c r="P354">
        <f t="shared" si="30"/>
        <v>-3</v>
      </c>
      <c r="Q354">
        <f t="shared" si="31"/>
        <v>0.97142857142857142</v>
      </c>
      <c r="R354">
        <f t="shared" si="32"/>
        <v>-3</v>
      </c>
      <c r="S354">
        <f t="shared" si="33"/>
        <v>1</v>
      </c>
      <c r="T354">
        <f t="shared" si="34"/>
        <v>-2</v>
      </c>
      <c r="U354">
        <f t="shared" si="35"/>
        <v>196.44882114877092</v>
      </c>
    </row>
    <row r="355" spans="1:21" x14ac:dyDescent="0.2">
      <c r="A355" s="3">
        <v>46011</v>
      </c>
      <c r="B355" s="2">
        <v>87164.4</v>
      </c>
      <c r="C355" s="2" t="s">
        <v>728</v>
      </c>
      <c r="D355" s="2">
        <v>55</v>
      </c>
      <c r="E355" s="2">
        <v>220</v>
      </c>
      <c r="F355" s="2">
        <v>1</v>
      </c>
      <c r="G355" s="2">
        <v>54</v>
      </c>
      <c r="H355" s="2" t="s">
        <v>729</v>
      </c>
      <c r="I355" s="2">
        <v>40</v>
      </c>
      <c r="J355" s="2">
        <v>160</v>
      </c>
      <c r="K355" s="2">
        <v>1</v>
      </c>
      <c r="L355" s="2">
        <v>39</v>
      </c>
      <c r="M355" s="2">
        <v>93</v>
      </c>
      <c r="N355" s="2" t="s">
        <v>17</v>
      </c>
      <c r="O355" s="2" t="s">
        <v>17</v>
      </c>
      <c r="P355">
        <f t="shared" si="30"/>
        <v>0.98181818181818181</v>
      </c>
      <c r="Q355">
        <f t="shared" si="31"/>
        <v>0.97499999999999998</v>
      </c>
      <c r="R355">
        <f t="shared" si="32"/>
        <v>1</v>
      </c>
      <c r="S355">
        <f t="shared" si="33"/>
        <v>1</v>
      </c>
      <c r="T355">
        <f t="shared" si="34"/>
        <v>2</v>
      </c>
      <c r="U355">
        <f t="shared" si="35"/>
        <v>198.44882114877092</v>
      </c>
    </row>
    <row r="356" spans="1:21" x14ac:dyDescent="0.2">
      <c r="A356" s="3">
        <v>46012</v>
      </c>
      <c r="B356" s="2">
        <v>88235.1</v>
      </c>
      <c r="C356" s="2" t="s">
        <v>730</v>
      </c>
      <c r="D356" s="2">
        <v>38</v>
      </c>
      <c r="E356" s="2">
        <v>152</v>
      </c>
      <c r="F356" s="2">
        <v>1</v>
      </c>
      <c r="G356" s="2">
        <v>37</v>
      </c>
      <c r="H356" s="2" t="s">
        <v>731</v>
      </c>
      <c r="I356" s="2">
        <v>78</v>
      </c>
      <c r="J356" s="2">
        <v>312</v>
      </c>
      <c r="K356" s="2">
        <v>1</v>
      </c>
      <c r="L356" s="2">
        <v>77</v>
      </c>
      <c r="M356" s="2">
        <v>114</v>
      </c>
      <c r="N356" s="2" t="s">
        <v>17</v>
      </c>
      <c r="O356" s="2" t="s">
        <v>17</v>
      </c>
      <c r="P356">
        <f t="shared" si="30"/>
        <v>0.97368421052631582</v>
      </c>
      <c r="Q356">
        <f t="shared" si="31"/>
        <v>0.98717948717948723</v>
      </c>
      <c r="R356">
        <f t="shared" si="32"/>
        <v>1</v>
      </c>
      <c r="S356">
        <f t="shared" si="33"/>
        <v>1</v>
      </c>
      <c r="T356">
        <f t="shared" si="34"/>
        <v>2</v>
      </c>
      <c r="U356">
        <f t="shared" si="35"/>
        <v>200.44882114877092</v>
      </c>
    </row>
    <row r="357" spans="1:21" x14ac:dyDescent="0.2">
      <c r="A357" s="3">
        <v>46013</v>
      </c>
      <c r="B357" s="2">
        <v>88468.5</v>
      </c>
      <c r="C357" s="2" t="s">
        <v>732</v>
      </c>
      <c r="D357" s="2">
        <v>35</v>
      </c>
      <c r="E357" s="2">
        <v>140</v>
      </c>
      <c r="F357" s="2">
        <v>140</v>
      </c>
      <c r="G357" s="2">
        <v>-105</v>
      </c>
      <c r="H357" s="2" t="s">
        <v>733</v>
      </c>
      <c r="I357" s="2">
        <v>30</v>
      </c>
      <c r="J357" s="2">
        <v>120</v>
      </c>
      <c r="K357" s="2">
        <v>1</v>
      </c>
      <c r="L357" s="2">
        <v>29</v>
      </c>
      <c r="M357" s="2">
        <v>-76</v>
      </c>
      <c r="N357" s="2" t="s">
        <v>20</v>
      </c>
      <c r="O357" s="2" t="s">
        <v>17</v>
      </c>
      <c r="P357">
        <f t="shared" si="30"/>
        <v>-3</v>
      </c>
      <c r="Q357">
        <f t="shared" si="31"/>
        <v>0.96666666666666667</v>
      </c>
      <c r="R357">
        <f t="shared" si="32"/>
        <v>-3</v>
      </c>
      <c r="S357">
        <f t="shared" si="33"/>
        <v>1</v>
      </c>
      <c r="T357">
        <f t="shared" si="34"/>
        <v>-2</v>
      </c>
      <c r="U357">
        <f t="shared" si="35"/>
        <v>198.44882114877092</v>
      </c>
    </row>
    <row r="358" spans="1:21" x14ac:dyDescent="0.2">
      <c r="A358" s="3">
        <v>46014</v>
      </c>
      <c r="B358" s="2">
        <v>89080.1</v>
      </c>
      <c r="C358" s="2" t="s">
        <v>734</v>
      </c>
      <c r="D358" s="2">
        <v>40</v>
      </c>
      <c r="E358" s="2">
        <v>160</v>
      </c>
      <c r="F358" s="2">
        <v>1</v>
      </c>
      <c r="G358" s="2">
        <v>39</v>
      </c>
      <c r="H358" s="2" t="s">
        <v>735</v>
      </c>
      <c r="I358" s="2">
        <v>32</v>
      </c>
      <c r="J358" s="2">
        <v>128</v>
      </c>
      <c r="K358" s="2">
        <v>1</v>
      </c>
      <c r="L358" s="2">
        <v>31</v>
      </c>
      <c r="M358" s="2">
        <v>70</v>
      </c>
      <c r="N358" s="2" t="s">
        <v>17</v>
      </c>
      <c r="O358" s="2" t="s">
        <v>17</v>
      </c>
      <c r="P358">
        <f t="shared" si="30"/>
        <v>0.97499999999999998</v>
      </c>
      <c r="Q358">
        <f t="shared" si="31"/>
        <v>0.96875</v>
      </c>
      <c r="R358">
        <f t="shared" si="32"/>
        <v>1</v>
      </c>
      <c r="S358">
        <f t="shared" si="33"/>
        <v>1</v>
      </c>
      <c r="T358">
        <f t="shared" si="34"/>
        <v>2</v>
      </c>
      <c r="U358">
        <f t="shared" si="35"/>
        <v>200.44882114877092</v>
      </c>
    </row>
    <row r="359" spans="1:21" x14ac:dyDescent="0.2">
      <c r="A359" s="3">
        <v>46015</v>
      </c>
      <c r="B359" s="2">
        <v>87992.6</v>
      </c>
      <c r="C359" s="2" t="s">
        <v>736</v>
      </c>
      <c r="D359" s="2">
        <v>57</v>
      </c>
      <c r="E359" s="2">
        <v>228</v>
      </c>
      <c r="F359" s="2">
        <v>1</v>
      </c>
      <c r="G359" s="2">
        <v>56</v>
      </c>
      <c r="H359" s="2" t="s">
        <v>737</v>
      </c>
      <c r="I359" s="2">
        <v>71</v>
      </c>
      <c r="J359" s="2">
        <v>284</v>
      </c>
      <c r="K359" s="2">
        <v>1</v>
      </c>
      <c r="L359" s="2">
        <v>70</v>
      </c>
      <c r="M359" s="2">
        <v>126</v>
      </c>
      <c r="N359" s="2" t="s">
        <v>17</v>
      </c>
      <c r="O359" s="2" t="s">
        <v>17</v>
      </c>
      <c r="P359">
        <f t="shared" si="30"/>
        <v>0.98245614035087714</v>
      </c>
      <c r="Q359">
        <f t="shared" si="31"/>
        <v>0.9859154929577465</v>
      </c>
      <c r="R359">
        <f t="shared" si="32"/>
        <v>1</v>
      </c>
      <c r="S359">
        <f t="shared" si="33"/>
        <v>1</v>
      </c>
      <c r="T359">
        <f t="shared" si="34"/>
        <v>2</v>
      </c>
      <c r="U359">
        <f t="shared" si="35"/>
        <v>202.44882114877092</v>
      </c>
    </row>
    <row r="360" spans="1:21" x14ac:dyDescent="0.2">
      <c r="A360" s="3">
        <v>46016</v>
      </c>
      <c r="B360" s="2">
        <v>87444</v>
      </c>
      <c r="C360" s="2" t="s">
        <v>738</v>
      </c>
      <c r="D360" s="2">
        <v>50</v>
      </c>
      <c r="E360" s="2">
        <v>200</v>
      </c>
      <c r="F360" s="2">
        <v>1</v>
      </c>
      <c r="G360" s="2">
        <v>49</v>
      </c>
      <c r="H360" s="2" t="s">
        <v>739</v>
      </c>
      <c r="I360" s="2">
        <v>51</v>
      </c>
      <c r="J360" s="2">
        <v>204</v>
      </c>
      <c r="K360" s="2">
        <v>1</v>
      </c>
      <c r="L360" s="2">
        <v>50</v>
      </c>
      <c r="M360" s="2">
        <v>99</v>
      </c>
      <c r="N360" s="2" t="s">
        <v>17</v>
      </c>
      <c r="O360" s="2" t="s">
        <v>17</v>
      </c>
      <c r="P360">
        <f t="shared" si="30"/>
        <v>0.98</v>
      </c>
      <c r="Q360">
        <f t="shared" si="31"/>
        <v>0.98039215686274506</v>
      </c>
      <c r="R360">
        <f t="shared" si="32"/>
        <v>1</v>
      </c>
      <c r="S360">
        <f t="shared" si="33"/>
        <v>1</v>
      </c>
      <c r="T360">
        <f t="shared" si="34"/>
        <v>2</v>
      </c>
      <c r="U360">
        <f t="shared" si="35"/>
        <v>204.44882114877092</v>
      </c>
    </row>
    <row r="361" spans="1:21" x14ac:dyDescent="0.2">
      <c r="A361" s="3">
        <v>46017</v>
      </c>
      <c r="B361" s="2">
        <v>88241.1</v>
      </c>
      <c r="C361" s="2" t="s">
        <v>740</v>
      </c>
      <c r="D361" s="2">
        <v>198</v>
      </c>
      <c r="E361" s="2">
        <v>792</v>
      </c>
      <c r="F361" s="2">
        <v>792</v>
      </c>
      <c r="G361" s="2">
        <v>-594</v>
      </c>
      <c r="H361" s="2" t="s">
        <v>741</v>
      </c>
      <c r="I361" s="2">
        <v>57</v>
      </c>
      <c r="J361" s="2">
        <v>228</v>
      </c>
      <c r="K361" s="2">
        <v>1</v>
      </c>
      <c r="L361" s="2">
        <v>56</v>
      </c>
      <c r="M361" s="2">
        <v>-538</v>
      </c>
      <c r="N361" s="2" t="s">
        <v>20</v>
      </c>
      <c r="O361" s="2" t="s">
        <v>17</v>
      </c>
      <c r="P361">
        <f t="shared" si="30"/>
        <v>-3</v>
      </c>
      <c r="Q361">
        <f t="shared" si="31"/>
        <v>0.98245614035087714</v>
      </c>
      <c r="R361">
        <f t="shared" si="32"/>
        <v>-3</v>
      </c>
      <c r="S361">
        <f t="shared" si="33"/>
        <v>1</v>
      </c>
      <c r="T361">
        <f t="shared" si="34"/>
        <v>-2</v>
      </c>
      <c r="U361">
        <f t="shared" si="35"/>
        <v>202.44882114877092</v>
      </c>
    </row>
    <row r="362" spans="1:21" x14ac:dyDescent="0.2">
      <c r="A362" s="3">
        <v>46018</v>
      </c>
      <c r="B362" s="2">
        <v>87248.5</v>
      </c>
      <c r="C362" s="2" t="s">
        <v>742</v>
      </c>
      <c r="D362" s="2">
        <v>50</v>
      </c>
      <c r="E362" s="2">
        <v>200</v>
      </c>
      <c r="F362" s="2">
        <v>1</v>
      </c>
      <c r="G362" s="2">
        <v>49</v>
      </c>
      <c r="H362" s="2" t="s">
        <v>743</v>
      </c>
      <c r="I362" s="2">
        <v>33</v>
      </c>
      <c r="J362" s="2">
        <v>132</v>
      </c>
      <c r="K362" s="2">
        <v>1</v>
      </c>
      <c r="L362" s="2">
        <v>32</v>
      </c>
      <c r="M362" s="2">
        <v>81</v>
      </c>
      <c r="N362" s="2" t="s">
        <v>17</v>
      </c>
      <c r="O362" s="2" t="s">
        <v>17</v>
      </c>
      <c r="P362">
        <f t="shared" si="30"/>
        <v>0.98</v>
      </c>
      <c r="Q362">
        <f t="shared" si="31"/>
        <v>0.96969696969696972</v>
      </c>
      <c r="R362">
        <f t="shared" si="32"/>
        <v>1</v>
      </c>
      <c r="S362">
        <f t="shared" si="33"/>
        <v>1</v>
      </c>
      <c r="T362">
        <f t="shared" si="34"/>
        <v>2</v>
      </c>
      <c r="U362">
        <f t="shared" si="35"/>
        <v>204.44882114877092</v>
      </c>
    </row>
    <row r="363" spans="1:21" x14ac:dyDescent="0.2">
      <c r="A363" s="3">
        <v>46019</v>
      </c>
      <c r="B363" s="2">
        <v>87506.8</v>
      </c>
      <c r="C363" s="2" t="s">
        <v>744</v>
      </c>
      <c r="D363" s="2">
        <v>84</v>
      </c>
      <c r="E363" s="2">
        <v>336</v>
      </c>
      <c r="F363" s="2">
        <v>1</v>
      </c>
      <c r="G363" s="2">
        <v>83</v>
      </c>
      <c r="H363" s="2" t="s">
        <v>745</v>
      </c>
      <c r="I363" s="2">
        <v>43</v>
      </c>
      <c r="J363" s="2">
        <v>172</v>
      </c>
      <c r="K363" s="2">
        <v>1</v>
      </c>
      <c r="L363" s="2">
        <v>42</v>
      </c>
      <c r="M363" s="2">
        <v>125</v>
      </c>
      <c r="N363" s="2" t="s">
        <v>17</v>
      </c>
      <c r="O363" s="2" t="s">
        <v>17</v>
      </c>
      <c r="P363">
        <f t="shared" si="30"/>
        <v>0.98809523809523814</v>
      </c>
      <c r="Q363">
        <f t="shared" si="31"/>
        <v>0.97674418604651159</v>
      </c>
      <c r="R363">
        <f t="shared" si="32"/>
        <v>1</v>
      </c>
      <c r="S363">
        <f t="shared" si="33"/>
        <v>1</v>
      </c>
      <c r="T363">
        <f t="shared" si="34"/>
        <v>2</v>
      </c>
      <c r="U363">
        <f t="shared" si="35"/>
        <v>206.44882114877092</v>
      </c>
    </row>
    <row r="364" spans="1:21" x14ac:dyDescent="0.2">
      <c r="A364" s="3">
        <v>46020</v>
      </c>
      <c r="B364" s="2">
        <v>87607.2</v>
      </c>
      <c r="C364" s="2" t="s">
        <v>746</v>
      </c>
      <c r="D364" s="2">
        <v>36</v>
      </c>
      <c r="E364" s="2">
        <v>144</v>
      </c>
      <c r="F364" s="2">
        <v>144</v>
      </c>
      <c r="G364" s="2">
        <v>-108</v>
      </c>
      <c r="H364" s="2" t="s">
        <v>747</v>
      </c>
      <c r="I364" s="2">
        <v>117</v>
      </c>
      <c r="J364" s="2">
        <v>468</v>
      </c>
      <c r="K364" s="2">
        <v>1</v>
      </c>
      <c r="L364" s="2">
        <v>116</v>
      </c>
      <c r="M364" s="2">
        <v>8</v>
      </c>
      <c r="N364" s="2" t="s">
        <v>20</v>
      </c>
      <c r="O364" s="2" t="s">
        <v>17</v>
      </c>
      <c r="P364">
        <f t="shared" si="30"/>
        <v>-3</v>
      </c>
      <c r="Q364">
        <f t="shared" si="31"/>
        <v>0.99145299145299148</v>
      </c>
      <c r="R364">
        <f t="shared" si="32"/>
        <v>-3</v>
      </c>
      <c r="S364">
        <f t="shared" si="33"/>
        <v>1</v>
      </c>
      <c r="T364">
        <f t="shared" si="34"/>
        <v>-2</v>
      </c>
      <c r="U364">
        <f t="shared" si="35"/>
        <v>204.44882114877092</v>
      </c>
    </row>
    <row r="365" spans="1:21" x14ac:dyDescent="0.2">
      <c r="A365" s="3">
        <v>46021</v>
      </c>
      <c r="B365" s="2">
        <v>87489.5</v>
      </c>
      <c r="C365" s="2" t="s">
        <v>748</v>
      </c>
      <c r="D365" s="2">
        <v>57</v>
      </c>
      <c r="E365" s="2">
        <v>228</v>
      </c>
      <c r="F365" s="2">
        <v>1</v>
      </c>
      <c r="G365" s="2">
        <v>56</v>
      </c>
      <c r="H365" s="2" t="s">
        <v>749</v>
      </c>
      <c r="I365" s="2">
        <v>34</v>
      </c>
      <c r="J365" s="2">
        <v>136</v>
      </c>
      <c r="K365" s="2">
        <v>1</v>
      </c>
      <c r="L365" s="2">
        <v>33</v>
      </c>
      <c r="M365" s="2">
        <v>89</v>
      </c>
      <c r="N365" s="2" t="s">
        <v>17</v>
      </c>
      <c r="O365" s="2" t="s">
        <v>17</v>
      </c>
      <c r="P365">
        <f t="shared" si="30"/>
        <v>0.98245614035087714</v>
      </c>
      <c r="Q365">
        <f t="shared" si="31"/>
        <v>0.97058823529411764</v>
      </c>
      <c r="R365">
        <f t="shared" si="32"/>
        <v>1</v>
      </c>
      <c r="S365">
        <f t="shared" si="33"/>
        <v>1</v>
      </c>
      <c r="T365">
        <f t="shared" si="34"/>
        <v>2</v>
      </c>
      <c r="U365">
        <f t="shared" si="35"/>
        <v>206.44882114877092</v>
      </c>
    </row>
    <row r="366" spans="1:21" x14ac:dyDescent="0.2">
      <c r="A366" s="3">
        <v>46022</v>
      </c>
      <c r="B366" s="2">
        <v>88240.3</v>
      </c>
      <c r="C366" s="2" t="s">
        <v>750</v>
      </c>
      <c r="D366" s="2">
        <v>38</v>
      </c>
      <c r="E366" s="2">
        <v>152</v>
      </c>
      <c r="F366" s="2">
        <v>1</v>
      </c>
      <c r="G366" s="2">
        <v>37</v>
      </c>
      <c r="H366" s="2" t="s">
        <v>751</v>
      </c>
      <c r="I366" s="2">
        <v>55</v>
      </c>
      <c r="J366" s="2">
        <v>220</v>
      </c>
      <c r="K366" s="2">
        <v>1</v>
      </c>
      <c r="L366" s="2">
        <v>54</v>
      </c>
      <c r="M366" s="2">
        <v>91</v>
      </c>
      <c r="N366" s="2" t="s">
        <v>17</v>
      </c>
      <c r="O366" s="2" t="s">
        <v>17</v>
      </c>
      <c r="P366">
        <f t="shared" si="30"/>
        <v>0.97368421052631582</v>
      </c>
      <c r="Q366">
        <f t="shared" si="31"/>
        <v>0.98181818181818181</v>
      </c>
      <c r="R366">
        <f t="shared" si="32"/>
        <v>1</v>
      </c>
      <c r="S366">
        <f t="shared" si="33"/>
        <v>1</v>
      </c>
      <c r="T366">
        <f t="shared" si="34"/>
        <v>2</v>
      </c>
      <c r="U366">
        <f t="shared" si="35"/>
        <v>208.44882114877092</v>
      </c>
    </row>
    <row r="367" spans="1:21" x14ac:dyDescent="0.2">
      <c r="A367" s="3">
        <v>46023</v>
      </c>
      <c r="B367" s="2">
        <v>87774.7</v>
      </c>
      <c r="C367" s="2" t="s">
        <v>752</v>
      </c>
      <c r="D367" s="2">
        <v>35</v>
      </c>
      <c r="E367" s="2">
        <v>140</v>
      </c>
      <c r="F367" s="2">
        <v>1</v>
      </c>
      <c r="G367" s="2">
        <v>34</v>
      </c>
      <c r="H367" s="2" t="s">
        <v>753</v>
      </c>
      <c r="I367" s="2">
        <v>35</v>
      </c>
      <c r="J367" s="2">
        <v>140</v>
      </c>
      <c r="K367" s="2">
        <v>1</v>
      </c>
      <c r="L367" s="2">
        <v>34</v>
      </c>
      <c r="M367" s="2">
        <v>68</v>
      </c>
      <c r="N367" s="2" t="s">
        <v>17</v>
      </c>
      <c r="O367" s="2" t="s">
        <v>17</v>
      </c>
      <c r="P367">
        <f t="shared" si="30"/>
        <v>0.97142857142857142</v>
      </c>
      <c r="Q367">
        <f t="shared" si="31"/>
        <v>0.97142857142857142</v>
      </c>
      <c r="R367">
        <f t="shared" si="32"/>
        <v>1</v>
      </c>
      <c r="S367">
        <f t="shared" si="33"/>
        <v>1</v>
      </c>
      <c r="T367">
        <f t="shared" si="34"/>
        <v>2</v>
      </c>
      <c r="U367">
        <f t="shared" si="35"/>
        <v>210.44882114877092</v>
      </c>
    </row>
    <row r="368" spans="1:21" x14ac:dyDescent="0.2">
      <c r="A368" s="3">
        <v>46024</v>
      </c>
      <c r="B368" s="2">
        <v>88194.4</v>
      </c>
      <c r="C368" s="2" t="s">
        <v>754</v>
      </c>
      <c r="D368" s="2">
        <v>39</v>
      </c>
      <c r="E368" s="2">
        <v>156</v>
      </c>
      <c r="F368" s="2">
        <v>156</v>
      </c>
      <c r="G368" s="2">
        <v>-117</v>
      </c>
      <c r="H368" s="2" t="s">
        <v>755</v>
      </c>
      <c r="I368" s="2">
        <v>35</v>
      </c>
      <c r="J368" s="2">
        <v>140</v>
      </c>
      <c r="K368" s="2">
        <v>1</v>
      </c>
      <c r="L368" s="2">
        <v>34</v>
      </c>
      <c r="M368" s="2">
        <v>-83</v>
      </c>
      <c r="N368" s="2" t="s">
        <v>20</v>
      </c>
      <c r="O368" s="2" t="s">
        <v>17</v>
      </c>
      <c r="P368">
        <f t="shared" si="30"/>
        <v>-3</v>
      </c>
      <c r="Q368">
        <f t="shared" si="31"/>
        <v>0.97142857142857142</v>
      </c>
      <c r="R368">
        <f t="shared" si="32"/>
        <v>-3</v>
      </c>
      <c r="S368">
        <f t="shared" si="33"/>
        <v>1</v>
      </c>
      <c r="T368">
        <f t="shared" si="34"/>
        <v>-2</v>
      </c>
      <c r="U368">
        <f t="shared" si="35"/>
        <v>208.44882114877092</v>
      </c>
    </row>
    <row r="369" spans="1:21" x14ac:dyDescent="0.2">
      <c r="A369" s="3">
        <v>46025</v>
      </c>
      <c r="B369" s="2">
        <v>89736.5</v>
      </c>
      <c r="C369" s="2" t="s">
        <v>756</v>
      </c>
      <c r="D369" s="2">
        <v>30</v>
      </c>
      <c r="E369" s="2">
        <v>120</v>
      </c>
      <c r="F369" s="2">
        <v>1</v>
      </c>
      <c r="G369" s="2">
        <v>29</v>
      </c>
      <c r="H369" s="2" t="s">
        <v>757</v>
      </c>
      <c r="I369" s="2">
        <v>49</v>
      </c>
      <c r="J369" s="2">
        <v>196</v>
      </c>
      <c r="K369" s="2">
        <v>1</v>
      </c>
      <c r="L369" s="2">
        <v>48</v>
      </c>
      <c r="M369" s="2">
        <v>77</v>
      </c>
      <c r="N369" s="2" t="s">
        <v>17</v>
      </c>
      <c r="O369" s="2" t="s">
        <v>17</v>
      </c>
      <c r="P369">
        <f t="shared" si="30"/>
        <v>0.96666666666666667</v>
      </c>
      <c r="Q369">
        <f t="shared" si="31"/>
        <v>0.97959183673469385</v>
      </c>
      <c r="R369">
        <f t="shared" si="32"/>
        <v>1</v>
      </c>
      <c r="S369">
        <f t="shared" si="33"/>
        <v>1</v>
      </c>
      <c r="T369">
        <f t="shared" si="34"/>
        <v>2</v>
      </c>
      <c r="U369">
        <f t="shared" si="35"/>
        <v>210.44882114877092</v>
      </c>
    </row>
    <row r="370" spans="1:21" x14ac:dyDescent="0.2">
      <c r="A370" s="3">
        <v>46026</v>
      </c>
      <c r="B370" s="2">
        <v>90132.4</v>
      </c>
      <c r="C370" s="2" t="s">
        <v>758</v>
      </c>
      <c r="D370" s="2">
        <v>49</v>
      </c>
      <c r="E370" s="2">
        <v>196</v>
      </c>
      <c r="F370" s="2">
        <v>196</v>
      </c>
      <c r="G370" s="2">
        <v>-147</v>
      </c>
      <c r="H370" s="2" t="s">
        <v>759</v>
      </c>
      <c r="I370" s="2">
        <v>54</v>
      </c>
      <c r="J370" s="2">
        <v>216</v>
      </c>
      <c r="K370" s="2">
        <v>1</v>
      </c>
      <c r="L370" s="2">
        <v>53</v>
      </c>
      <c r="M370" s="2">
        <v>-94</v>
      </c>
      <c r="N370" s="2" t="s">
        <v>20</v>
      </c>
      <c r="O370" s="2" t="s">
        <v>17</v>
      </c>
      <c r="P370">
        <f t="shared" si="30"/>
        <v>-3</v>
      </c>
      <c r="Q370">
        <f t="shared" si="31"/>
        <v>0.98148148148148151</v>
      </c>
      <c r="R370">
        <f t="shared" si="32"/>
        <v>-3</v>
      </c>
      <c r="S370">
        <f t="shared" si="33"/>
        <v>1</v>
      </c>
      <c r="T370">
        <f t="shared" si="34"/>
        <v>-2</v>
      </c>
      <c r="U370">
        <f t="shared" si="35"/>
        <v>208.44882114877092</v>
      </c>
    </row>
    <row r="371" spans="1:21" x14ac:dyDescent="0.2">
      <c r="A371" s="3">
        <v>46027</v>
      </c>
      <c r="B371" s="2">
        <v>91206.399999999994</v>
      </c>
      <c r="C371" s="2" t="s">
        <v>760</v>
      </c>
      <c r="D371" s="2">
        <v>38</v>
      </c>
      <c r="E371" s="2">
        <v>152</v>
      </c>
      <c r="F371" s="2">
        <v>152</v>
      </c>
      <c r="G371" s="2">
        <v>-114</v>
      </c>
      <c r="H371" s="2" t="s">
        <v>761</v>
      </c>
      <c r="I371" s="2">
        <v>32</v>
      </c>
      <c r="J371" s="2">
        <v>128</v>
      </c>
      <c r="K371" s="2">
        <v>1</v>
      </c>
      <c r="L371" s="2">
        <v>31</v>
      </c>
      <c r="M371" s="2">
        <v>-83</v>
      </c>
      <c r="N371" s="2" t="s">
        <v>20</v>
      </c>
      <c r="O371" s="2" t="s">
        <v>17</v>
      </c>
      <c r="P371">
        <f t="shared" si="30"/>
        <v>-3</v>
      </c>
      <c r="Q371">
        <f t="shared" si="31"/>
        <v>0.96875</v>
      </c>
      <c r="R371">
        <f t="shared" si="32"/>
        <v>-3</v>
      </c>
      <c r="S371">
        <f t="shared" si="33"/>
        <v>1</v>
      </c>
      <c r="T371">
        <f t="shared" si="34"/>
        <v>-2</v>
      </c>
      <c r="U371">
        <f t="shared" si="35"/>
        <v>206.44882114877092</v>
      </c>
    </row>
    <row r="372" spans="1:21" x14ac:dyDescent="0.2">
      <c r="A372" s="3">
        <v>46028</v>
      </c>
      <c r="B372" s="2">
        <v>94357</v>
      </c>
      <c r="C372" s="2" t="s">
        <v>762</v>
      </c>
      <c r="D372" s="2">
        <v>106</v>
      </c>
      <c r="E372" s="2">
        <v>424</v>
      </c>
      <c r="F372" s="2">
        <v>1</v>
      </c>
      <c r="G372" s="2">
        <v>105</v>
      </c>
      <c r="H372" s="2" t="s">
        <v>763</v>
      </c>
      <c r="I372" s="2">
        <v>38</v>
      </c>
      <c r="J372" s="2">
        <v>152</v>
      </c>
      <c r="K372" s="2">
        <v>1</v>
      </c>
      <c r="L372" s="2">
        <v>37</v>
      </c>
      <c r="M372" s="2">
        <v>142</v>
      </c>
      <c r="N372" s="2" t="s">
        <v>17</v>
      </c>
      <c r="O372" s="2" t="s">
        <v>17</v>
      </c>
      <c r="P372">
        <f t="shared" si="30"/>
        <v>0.99056603773584906</v>
      </c>
      <c r="Q372">
        <f t="shared" si="31"/>
        <v>0.97368421052631582</v>
      </c>
      <c r="R372">
        <f t="shared" si="32"/>
        <v>1</v>
      </c>
      <c r="S372">
        <f t="shared" si="33"/>
        <v>1</v>
      </c>
      <c r="T372">
        <f t="shared" si="34"/>
        <v>2</v>
      </c>
      <c r="U372">
        <f t="shared" si="35"/>
        <v>208.44882114877092</v>
      </c>
    </row>
    <row r="373" spans="1:21" x14ac:dyDescent="0.2">
      <c r="A373" s="3">
        <v>46029</v>
      </c>
      <c r="B373" s="2">
        <v>91994.2</v>
      </c>
      <c r="C373" s="2" t="s">
        <v>764</v>
      </c>
      <c r="D373" s="2">
        <v>31</v>
      </c>
      <c r="E373" s="2">
        <v>124</v>
      </c>
      <c r="F373" s="2">
        <v>124</v>
      </c>
      <c r="G373" s="2">
        <v>-93</v>
      </c>
      <c r="H373" s="2" t="s">
        <v>765</v>
      </c>
      <c r="I373" s="2">
        <v>44</v>
      </c>
      <c r="J373" s="2">
        <v>176</v>
      </c>
      <c r="K373" s="2">
        <v>1</v>
      </c>
      <c r="L373" s="2">
        <v>43</v>
      </c>
      <c r="M373" s="2">
        <v>-50</v>
      </c>
      <c r="N373" s="2" t="s">
        <v>20</v>
      </c>
      <c r="O373" s="2" t="s">
        <v>17</v>
      </c>
      <c r="P373">
        <f t="shared" si="30"/>
        <v>-3</v>
      </c>
      <c r="Q373">
        <f t="shared" si="31"/>
        <v>0.97727272727272729</v>
      </c>
      <c r="R373">
        <f t="shared" si="32"/>
        <v>-3</v>
      </c>
      <c r="S373">
        <f t="shared" si="33"/>
        <v>1</v>
      </c>
      <c r="T373">
        <f t="shared" si="34"/>
        <v>-2</v>
      </c>
      <c r="U373">
        <f t="shared" si="35"/>
        <v>206.44882114877092</v>
      </c>
    </row>
    <row r="374" spans="1:21" x14ac:dyDescent="0.2">
      <c r="A374" s="3">
        <v>46030</v>
      </c>
      <c r="B374" s="2">
        <v>90910.1</v>
      </c>
      <c r="C374" s="2" t="s">
        <v>766</v>
      </c>
      <c r="D374" s="2">
        <v>36</v>
      </c>
      <c r="E374" s="2">
        <v>144</v>
      </c>
      <c r="F374" s="2">
        <v>1</v>
      </c>
      <c r="G374" s="2">
        <v>35</v>
      </c>
      <c r="H374" s="2" t="s">
        <v>767</v>
      </c>
      <c r="I374" s="2">
        <v>58</v>
      </c>
      <c r="J374" s="2">
        <v>232</v>
      </c>
      <c r="K374" s="2">
        <v>1</v>
      </c>
      <c r="L374" s="2">
        <v>57</v>
      </c>
      <c r="M374" s="2">
        <v>92</v>
      </c>
      <c r="N374" s="2" t="s">
        <v>17</v>
      </c>
      <c r="O374" s="2" t="s">
        <v>17</v>
      </c>
      <c r="P374">
        <f t="shared" si="30"/>
        <v>0.97222222222222221</v>
      </c>
      <c r="Q374">
        <f t="shared" si="31"/>
        <v>0.98275862068965514</v>
      </c>
      <c r="R374">
        <f t="shared" si="32"/>
        <v>1</v>
      </c>
      <c r="S374">
        <f t="shared" si="33"/>
        <v>1</v>
      </c>
      <c r="T374">
        <f t="shared" si="34"/>
        <v>2</v>
      </c>
      <c r="U374">
        <f t="shared" si="35"/>
        <v>208.44882114877092</v>
      </c>
    </row>
    <row r="375" spans="1:21" x14ac:dyDescent="0.2">
      <c r="A375" s="3">
        <v>46031</v>
      </c>
      <c r="B375" s="2">
        <v>91031.5</v>
      </c>
      <c r="C375" s="2" t="s">
        <v>768</v>
      </c>
      <c r="D375" s="2">
        <v>48</v>
      </c>
      <c r="E375" s="2">
        <v>192</v>
      </c>
      <c r="F375" s="2">
        <v>1</v>
      </c>
      <c r="G375" s="2">
        <v>47</v>
      </c>
      <c r="H375" s="2" t="s">
        <v>769</v>
      </c>
      <c r="I375" s="2">
        <v>61</v>
      </c>
      <c r="J375" s="2">
        <v>244</v>
      </c>
      <c r="K375" s="2">
        <v>1</v>
      </c>
      <c r="L375" s="2">
        <v>60</v>
      </c>
      <c r="M375" s="2">
        <v>107</v>
      </c>
      <c r="N375" s="2" t="s">
        <v>17</v>
      </c>
      <c r="O375" s="2" t="s">
        <v>17</v>
      </c>
      <c r="P375">
        <f t="shared" si="30"/>
        <v>0.97916666666666663</v>
      </c>
      <c r="Q375">
        <f t="shared" si="31"/>
        <v>0.98360655737704916</v>
      </c>
      <c r="R375">
        <f t="shared" si="32"/>
        <v>1</v>
      </c>
      <c r="S375">
        <f t="shared" si="33"/>
        <v>1</v>
      </c>
      <c r="T375">
        <f t="shared" si="34"/>
        <v>2</v>
      </c>
      <c r="U375">
        <f t="shared" si="35"/>
        <v>210.44882114877092</v>
      </c>
    </row>
    <row r="376" spans="1:21" x14ac:dyDescent="0.2">
      <c r="A376" s="3">
        <v>46032</v>
      </c>
      <c r="B376" s="2">
        <v>90730.2</v>
      </c>
      <c r="C376" s="2" t="s">
        <v>770</v>
      </c>
      <c r="D376" s="2">
        <v>39</v>
      </c>
      <c r="E376" s="2">
        <v>156</v>
      </c>
      <c r="F376" s="2">
        <v>1</v>
      </c>
      <c r="G376" s="2">
        <v>38</v>
      </c>
      <c r="H376" s="2" t="s">
        <v>771</v>
      </c>
      <c r="I376" s="2">
        <v>30</v>
      </c>
      <c r="J376" s="2">
        <v>120</v>
      </c>
      <c r="K376" s="2">
        <v>1</v>
      </c>
      <c r="L376" s="2">
        <v>29</v>
      </c>
      <c r="M376" s="2">
        <v>67</v>
      </c>
      <c r="N376" s="2" t="s">
        <v>17</v>
      </c>
      <c r="O376" s="2" t="s">
        <v>17</v>
      </c>
      <c r="P376">
        <f t="shared" si="30"/>
        <v>0.97435897435897434</v>
      </c>
      <c r="Q376">
        <f t="shared" si="31"/>
        <v>0.96666666666666667</v>
      </c>
      <c r="R376">
        <f t="shared" si="32"/>
        <v>1</v>
      </c>
      <c r="S376">
        <f t="shared" si="33"/>
        <v>1</v>
      </c>
      <c r="T376">
        <f t="shared" si="34"/>
        <v>2</v>
      </c>
      <c r="U376">
        <f t="shared" si="35"/>
        <v>212.44882114877092</v>
      </c>
    </row>
    <row r="377" spans="1:21" x14ac:dyDescent="0.2">
      <c r="A377" s="3">
        <v>46033</v>
      </c>
      <c r="B377" s="2">
        <v>90594.2</v>
      </c>
      <c r="C377" s="2" t="s">
        <v>772</v>
      </c>
      <c r="D377" s="2">
        <v>88</v>
      </c>
      <c r="E377" s="2">
        <v>352</v>
      </c>
      <c r="F377" s="2">
        <v>1</v>
      </c>
      <c r="G377" s="2">
        <v>87</v>
      </c>
      <c r="H377" s="2" t="s">
        <v>773</v>
      </c>
      <c r="I377" s="2">
        <v>53</v>
      </c>
      <c r="J377" s="2">
        <v>212</v>
      </c>
      <c r="K377" s="2">
        <v>1</v>
      </c>
      <c r="L377" s="2">
        <v>52</v>
      </c>
      <c r="M377" s="2">
        <v>139</v>
      </c>
      <c r="N377" s="2" t="s">
        <v>17</v>
      </c>
      <c r="O377" s="2" t="s">
        <v>17</v>
      </c>
      <c r="P377">
        <f t="shared" si="30"/>
        <v>0.98863636363636365</v>
      </c>
      <c r="Q377">
        <f t="shared" si="31"/>
        <v>0.98113207547169812</v>
      </c>
      <c r="R377">
        <f t="shared" si="32"/>
        <v>1</v>
      </c>
      <c r="S377">
        <f t="shared" si="33"/>
        <v>1</v>
      </c>
      <c r="T377">
        <f t="shared" si="34"/>
        <v>2</v>
      </c>
      <c r="U377">
        <f t="shared" si="35"/>
        <v>214.44882114877092</v>
      </c>
    </row>
    <row r="378" spans="1:21" x14ac:dyDescent="0.2">
      <c r="A378" s="3">
        <v>46034</v>
      </c>
      <c r="B378" s="2">
        <v>90890.6</v>
      </c>
      <c r="C378" s="2" t="s">
        <v>774</v>
      </c>
      <c r="D378" s="2">
        <v>42</v>
      </c>
      <c r="E378" s="2">
        <v>168</v>
      </c>
      <c r="F378" s="2">
        <v>168</v>
      </c>
      <c r="G378" s="2">
        <v>-126</v>
      </c>
      <c r="H378" s="2" t="s">
        <v>775</v>
      </c>
      <c r="I378" s="2">
        <v>52</v>
      </c>
      <c r="J378" s="2">
        <v>208</v>
      </c>
      <c r="K378" s="2">
        <v>1</v>
      </c>
      <c r="L378" s="2">
        <v>51</v>
      </c>
      <c r="M378" s="2">
        <v>-75</v>
      </c>
      <c r="N378" s="2" t="s">
        <v>20</v>
      </c>
      <c r="O378" s="2" t="s">
        <v>17</v>
      </c>
      <c r="P378">
        <f t="shared" si="30"/>
        <v>-3</v>
      </c>
      <c r="Q378">
        <f t="shared" si="31"/>
        <v>0.98076923076923073</v>
      </c>
      <c r="R378">
        <f t="shared" si="32"/>
        <v>-3</v>
      </c>
      <c r="S378">
        <f t="shared" si="33"/>
        <v>1</v>
      </c>
      <c r="T378">
        <f t="shared" si="34"/>
        <v>-2</v>
      </c>
      <c r="U378">
        <f t="shared" si="35"/>
        <v>212.44882114877092</v>
      </c>
    </row>
    <row r="379" spans="1:21" x14ac:dyDescent="0.2">
      <c r="A379" s="3">
        <v>46035</v>
      </c>
      <c r="B379" s="2">
        <v>91548.3</v>
      </c>
      <c r="C379" s="2" t="s">
        <v>776</v>
      </c>
      <c r="D379" s="2">
        <v>33</v>
      </c>
      <c r="E379" s="2">
        <v>132</v>
      </c>
      <c r="F379" s="2">
        <v>1</v>
      </c>
      <c r="G379" s="2">
        <v>32</v>
      </c>
      <c r="H379" s="2" t="s">
        <v>777</v>
      </c>
      <c r="I379" s="2">
        <v>35</v>
      </c>
      <c r="J379" s="2">
        <v>140</v>
      </c>
      <c r="K379" s="2">
        <v>1</v>
      </c>
      <c r="L379" s="2">
        <v>34</v>
      </c>
      <c r="M379" s="2">
        <v>66</v>
      </c>
      <c r="N379" s="2" t="s">
        <v>17</v>
      </c>
      <c r="O379" s="2" t="s">
        <v>17</v>
      </c>
      <c r="P379">
        <f t="shared" si="30"/>
        <v>0.96969696969696972</v>
      </c>
      <c r="Q379">
        <f t="shared" si="31"/>
        <v>0.97142857142857142</v>
      </c>
      <c r="R379">
        <f t="shared" si="32"/>
        <v>1</v>
      </c>
      <c r="S379">
        <f t="shared" si="33"/>
        <v>1</v>
      </c>
      <c r="T379">
        <f t="shared" si="34"/>
        <v>2</v>
      </c>
      <c r="U379">
        <f t="shared" si="35"/>
        <v>214.44882114877092</v>
      </c>
    </row>
    <row r="380" spans="1:21" x14ac:dyDescent="0.2">
      <c r="A380" s="3">
        <v>46036</v>
      </c>
      <c r="B380" s="2">
        <v>93671.2</v>
      </c>
      <c r="C380" s="2" t="s">
        <v>778</v>
      </c>
      <c r="D380" s="2">
        <v>55</v>
      </c>
      <c r="E380" s="2">
        <v>220</v>
      </c>
      <c r="F380" s="2">
        <v>220</v>
      </c>
      <c r="G380" s="2">
        <v>-165</v>
      </c>
      <c r="H380" s="2" t="s">
        <v>779</v>
      </c>
      <c r="I380" s="2">
        <v>40</v>
      </c>
      <c r="J380" s="2">
        <v>160</v>
      </c>
      <c r="K380" s="2">
        <v>1</v>
      </c>
      <c r="L380" s="2">
        <v>39</v>
      </c>
      <c r="M380" s="2">
        <v>-126</v>
      </c>
      <c r="N380" s="2" t="s">
        <v>20</v>
      </c>
      <c r="O380" s="2" t="s">
        <v>17</v>
      </c>
      <c r="P380">
        <f t="shared" si="30"/>
        <v>-3</v>
      </c>
      <c r="Q380">
        <f t="shared" si="31"/>
        <v>0.97499999999999998</v>
      </c>
      <c r="R380">
        <f t="shared" si="32"/>
        <v>-3</v>
      </c>
      <c r="S380">
        <f t="shared" si="33"/>
        <v>1</v>
      </c>
      <c r="T380">
        <f t="shared" si="34"/>
        <v>-2</v>
      </c>
      <c r="U380">
        <f t="shared" si="35"/>
        <v>212.44882114877092</v>
      </c>
    </row>
    <row r="381" spans="1:21" x14ac:dyDescent="0.2">
      <c r="A381" s="3">
        <v>46037</v>
      </c>
      <c r="B381" s="2">
        <v>96741.5</v>
      </c>
      <c r="C381" s="2" t="s">
        <v>780</v>
      </c>
      <c r="D381" s="2">
        <v>40</v>
      </c>
      <c r="E381" s="2">
        <v>160</v>
      </c>
      <c r="F381" s="2">
        <v>1</v>
      </c>
      <c r="G381" s="2">
        <v>39</v>
      </c>
      <c r="H381" s="2" t="s">
        <v>781</v>
      </c>
      <c r="I381" s="2">
        <v>44</v>
      </c>
      <c r="J381" s="2">
        <v>176</v>
      </c>
      <c r="K381" s="2">
        <v>1</v>
      </c>
      <c r="L381" s="2">
        <v>43</v>
      </c>
      <c r="M381" s="2">
        <v>82</v>
      </c>
      <c r="N381" s="2" t="s">
        <v>17</v>
      </c>
      <c r="O381" s="2" t="s">
        <v>17</v>
      </c>
      <c r="P381">
        <f t="shared" si="30"/>
        <v>0.97499999999999998</v>
      </c>
      <c r="Q381">
        <f t="shared" si="31"/>
        <v>0.97727272727272729</v>
      </c>
      <c r="R381">
        <f t="shared" si="32"/>
        <v>1</v>
      </c>
      <c r="S381">
        <f t="shared" si="33"/>
        <v>1</v>
      </c>
      <c r="T381">
        <f t="shared" si="34"/>
        <v>2</v>
      </c>
      <c r="U381">
        <f t="shared" si="35"/>
        <v>214.44882114877092</v>
      </c>
    </row>
    <row r="382" spans="1:21" x14ac:dyDescent="0.2">
      <c r="A382" s="3">
        <v>46038</v>
      </c>
      <c r="B382" s="2">
        <v>95770</v>
      </c>
      <c r="C382" s="2" t="s">
        <v>782</v>
      </c>
      <c r="D382" s="2">
        <v>39</v>
      </c>
      <c r="E382" s="2">
        <v>156</v>
      </c>
      <c r="F382" s="2">
        <v>1</v>
      </c>
      <c r="G382" s="2">
        <v>38</v>
      </c>
      <c r="H382" s="2" t="s">
        <v>783</v>
      </c>
      <c r="I382" s="2">
        <v>32</v>
      </c>
      <c r="J382" s="2">
        <v>128</v>
      </c>
      <c r="K382" s="2">
        <v>1</v>
      </c>
      <c r="L382" s="2">
        <v>31</v>
      </c>
      <c r="M382" s="2">
        <v>69</v>
      </c>
      <c r="N382" s="2" t="s">
        <v>17</v>
      </c>
      <c r="O382" s="2" t="s">
        <v>17</v>
      </c>
      <c r="P382">
        <f t="shared" si="30"/>
        <v>0.97435897435897434</v>
      </c>
      <c r="Q382">
        <f t="shared" si="31"/>
        <v>0.96875</v>
      </c>
      <c r="R382">
        <f t="shared" si="32"/>
        <v>1</v>
      </c>
      <c r="S382">
        <f t="shared" si="33"/>
        <v>1</v>
      </c>
      <c r="T382">
        <f t="shared" si="34"/>
        <v>2</v>
      </c>
      <c r="U382">
        <f t="shared" si="35"/>
        <v>216.44882114877092</v>
      </c>
    </row>
    <row r="383" spans="1:21" x14ac:dyDescent="0.2">
      <c r="A383" s="3">
        <v>46039</v>
      </c>
      <c r="B383" s="2">
        <v>94969</v>
      </c>
      <c r="C383" s="2" t="s">
        <v>784</v>
      </c>
      <c r="D383" s="2">
        <v>30</v>
      </c>
      <c r="E383" s="2">
        <v>120</v>
      </c>
      <c r="F383" s="2">
        <v>120</v>
      </c>
      <c r="G383" s="2">
        <v>-90</v>
      </c>
      <c r="H383" s="2" t="s">
        <v>785</v>
      </c>
      <c r="I383" s="2">
        <v>44</v>
      </c>
      <c r="J383" s="2">
        <v>176</v>
      </c>
      <c r="K383" s="2">
        <v>1</v>
      </c>
      <c r="L383" s="2">
        <v>43</v>
      </c>
      <c r="M383" s="2">
        <v>-47</v>
      </c>
      <c r="N383" s="2" t="s">
        <v>20</v>
      </c>
      <c r="O383" s="2" t="s">
        <v>17</v>
      </c>
      <c r="P383">
        <f t="shared" si="30"/>
        <v>-3</v>
      </c>
      <c r="Q383">
        <f t="shared" si="31"/>
        <v>0.97727272727272729</v>
      </c>
      <c r="R383">
        <f t="shared" si="32"/>
        <v>-3</v>
      </c>
      <c r="S383">
        <f t="shared" si="33"/>
        <v>1</v>
      </c>
      <c r="T383">
        <f t="shared" si="34"/>
        <v>-2</v>
      </c>
      <c r="U383">
        <f t="shared" si="35"/>
        <v>214.44882114877092</v>
      </c>
    </row>
    <row r="384" spans="1:21" x14ac:dyDescent="0.2">
      <c r="A384" s="3">
        <v>46040</v>
      </c>
      <c r="B384" s="2">
        <v>95417.9</v>
      </c>
      <c r="C384" s="2" t="s">
        <v>786</v>
      </c>
      <c r="D384" s="2">
        <v>50</v>
      </c>
      <c r="E384" s="2">
        <v>200</v>
      </c>
      <c r="F384" s="2">
        <v>1</v>
      </c>
      <c r="G384" s="2">
        <v>49</v>
      </c>
      <c r="H384" s="2" t="s">
        <v>787</v>
      </c>
      <c r="I384" s="2">
        <v>54</v>
      </c>
      <c r="J384" s="2">
        <v>216</v>
      </c>
      <c r="K384" s="2">
        <v>216</v>
      </c>
      <c r="L384" s="2">
        <v>-162</v>
      </c>
      <c r="M384" s="2">
        <v>-113</v>
      </c>
      <c r="N384" s="2" t="s">
        <v>17</v>
      </c>
      <c r="O384" s="2" t="s">
        <v>20</v>
      </c>
      <c r="P384">
        <f t="shared" si="30"/>
        <v>0.98</v>
      </c>
      <c r="Q384">
        <f t="shared" si="31"/>
        <v>-3</v>
      </c>
      <c r="R384">
        <f t="shared" si="32"/>
        <v>1</v>
      </c>
      <c r="S384">
        <f t="shared" si="33"/>
        <v>-3</v>
      </c>
      <c r="T384">
        <f t="shared" si="34"/>
        <v>-2</v>
      </c>
      <c r="U384">
        <f t="shared" si="35"/>
        <v>212.44882114877092</v>
      </c>
    </row>
    <row r="385" spans="1:21" x14ac:dyDescent="0.2">
      <c r="A385" s="3">
        <v>46041</v>
      </c>
      <c r="B385" s="2">
        <v>95482.6</v>
      </c>
      <c r="C385" s="2" t="s">
        <v>788</v>
      </c>
      <c r="D385" s="2">
        <v>55</v>
      </c>
      <c r="E385" s="2">
        <v>220</v>
      </c>
      <c r="F385" s="2">
        <v>1</v>
      </c>
      <c r="G385" s="2">
        <v>54</v>
      </c>
      <c r="H385" s="2" t="s">
        <v>789</v>
      </c>
      <c r="I385" s="2">
        <v>53</v>
      </c>
      <c r="J385" s="2">
        <v>212</v>
      </c>
      <c r="K385" s="2">
        <v>212</v>
      </c>
      <c r="L385" s="2">
        <v>-159</v>
      </c>
      <c r="M385" s="2">
        <v>-105</v>
      </c>
      <c r="N385" s="2" t="s">
        <v>17</v>
      </c>
      <c r="O385" s="2" t="s">
        <v>20</v>
      </c>
      <c r="P385">
        <f t="shared" si="30"/>
        <v>0.98181818181818181</v>
      </c>
      <c r="Q385">
        <f t="shared" si="31"/>
        <v>-3</v>
      </c>
      <c r="R385">
        <f t="shared" si="32"/>
        <v>1</v>
      </c>
      <c r="S385">
        <f t="shared" si="33"/>
        <v>-3</v>
      </c>
      <c r="T385">
        <f t="shared" si="34"/>
        <v>-2</v>
      </c>
      <c r="U385">
        <f t="shared" si="35"/>
        <v>210.44882114877092</v>
      </c>
    </row>
    <row r="386" spans="1:21" x14ac:dyDescent="0.2">
      <c r="A386" s="3">
        <v>46042</v>
      </c>
      <c r="B386" s="2">
        <v>93079.4</v>
      </c>
      <c r="C386" s="2" t="s">
        <v>790</v>
      </c>
      <c r="D386" s="2">
        <v>31</v>
      </c>
      <c r="E386" s="2">
        <v>124</v>
      </c>
      <c r="F386" s="2">
        <v>1</v>
      </c>
      <c r="G386" s="2">
        <v>30</v>
      </c>
      <c r="H386" s="2" t="s">
        <v>791</v>
      </c>
      <c r="I386" s="2">
        <v>50</v>
      </c>
      <c r="J386" s="2">
        <v>200</v>
      </c>
      <c r="K386" s="2">
        <v>200</v>
      </c>
      <c r="L386" s="2">
        <v>-150</v>
      </c>
      <c r="M386" s="2">
        <v>-120</v>
      </c>
      <c r="N386" s="2" t="s">
        <v>17</v>
      </c>
      <c r="O386" s="2" t="s">
        <v>20</v>
      </c>
      <c r="P386">
        <f t="shared" si="30"/>
        <v>0.967741935483871</v>
      </c>
      <c r="Q386">
        <f t="shared" si="31"/>
        <v>-3</v>
      </c>
      <c r="R386">
        <f t="shared" si="32"/>
        <v>1</v>
      </c>
      <c r="S386">
        <f t="shared" si="33"/>
        <v>-3</v>
      </c>
      <c r="T386">
        <f t="shared" si="34"/>
        <v>-2</v>
      </c>
      <c r="U386">
        <f t="shared" si="35"/>
        <v>208.44882114877092</v>
      </c>
    </row>
    <row r="387" spans="1:21" x14ac:dyDescent="0.2">
      <c r="A387" s="3">
        <v>46043</v>
      </c>
      <c r="B387" s="2">
        <v>89585.8</v>
      </c>
      <c r="C387" s="2" t="s">
        <v>792</v>
      </c>
      <c r="D387" s="2">
        <v>48</v>
      </c>
      <c r="E387" s="2">
        <v>192</v>
      </c>
      <c r="F387" s="2">
        <v>1</v>
      </c>
      <c r="G387" s="2">
        <v>47</v>
      </c>
      <c r="H387" s="2" t="s">
        <v>793</v>
      </c>
      <c r="I387" s="2">
        <v>124</v>
      </c>
      <c r="J387" s="2">
        <v>496</v>
      </c>
      <c r="K387" s="2">
        <v>1</v>
      </c>
      <c r="L387" s="2">
        <v>123</v>
      </c>
      <c r="M387" s="2">
        <v>170</v>
      </c>
      <c r="N387" s="2" t="s">
        <v>17</v>
      </c>
      <c r="O387" s="2" t="s">
        <v>17</v>
      </c>
      <c r="P387">
        <f t="shared" ref="P387:P397" si="36">G387/D387</f>
        <v>0.97916666666666663</v>
      </c>
      <c r="Q387">
        <f t="shared" ref="Q387:Q397" si="37">L387/I387</f>
        <v>0.99193548387096775</v>
      </c>
      <c r="R387">
        <f t="shared" ref="R387:R397" si="38">IF(P387&gt;0.9,1,P387)</f>
        <v>1</v>
      </c>
      <c r="S387">
        <f t="shared" ref="S387:S397" si="39">IF(Q387&gt;0.9,1,Q387)</f>
        <v>1</v>
      </c>
      <c r="T387">
        <f t="shared" ref="T387:T397" si="40">S387+R387</f>
        <v>2</v>
      </c>
      <c r="U387">
        <f t="shared" si="35"/>
        <v>210.44882114877092</v>
      </c>
    </row>
    <row r="388" spans="1:21" x14ac:dyDescent="0.2">
      <c r="A388" s="3">
        <v>46044</v>
      </c>
      <c r="B388" s="2">
        <v>88480.2</v>
      </c>
      <c r="C388" s="2" t="s">
        <v>794</v>
      </c>
      <c r="D388" s="2">
        <v>31</v>
      </c>
      <c r="E388" s="2">
        <v>124</v>
      </c>
      <c r="F388" s="2">
        <v>124</v>
      </c>
      <c r="G388" s="2">
        <v>-93</v>
      </c>
      <c r="H388" s="2" t="s">
        <v>795</v>
      </c>
      <c r="I388" s="2">
        <v>43</v>
      </c>
      <c r="J388" s="2">
        <v>172</v>
      </c>
      <c r="K388" s="2">
        <v>1</v>
      </c>
      <c r="L388" s="2">
        <v>42</v>
      </c>
      <c r="M388" s="2">
        <v>-51</v>
      </c>
      <c r="N388" s="2" t="s">
        <v>20</v>
      </c>
      <c r="O388" s="2" t="s">
        <v>17</v>
      </c>
      <c r="P388">
        <f t="shared" si="36"/>
        <v>-3</v>
      </c>
      <c r="Q388">
        <f t="shared" si="37"/>
        <v>0.97674418604651159</v>
      </c>
      <c r="R388">
        <f t="shared" si="38"/>
        <v>-3</v>
      </c>
      <c r="S388">
        <f t="shared" si="39"/>
        <v>1</v>
      </c>
      <c r="T388">
        <f t="shared" si="40"/>
        <v>-2</v>
      </c>
      <c r="U388">
        <f t="shared" ref="U388:U397" si="41">U387+T388</f>
        <v>208.44882114877092</v>
      </c>
    </row>
    <row r="389" spans="1:21" x14ac:dyDescent="0.2">
      <c r="A389" s="3">
        <v>46045</v>
      </c>
      <c r="B389" s="2">
        <v>89278.5</v>
      </c>
      <c r="C389" s="2" t="s">
        <v>796</v>
      </c>
      <c r="D389" s="2">
        <v>35</v>
      </c>
      <c r="E389" s="2">
        <v>140</v>
      </c>
      <c r="F389" s="2">
        <v>1</v>
      </c>
      <c r="G389" s="2">
        <v>34</v>
      </c>
      <c r="H389" s="2" t="s">
        <v>797</v>
      </c>
      <c r="I389" s="2">
        <v>69</v>
      </c>
      <c r="J389" s="2">
        <v>276</v>
      </c>
      <c r="K389" s="2">
        <v>1</v>
      </c>
      <c r="L389" s="2">
        <v>68</v>
      </c>
      <c r="M389" s="2">
        <v>102</v>
      </c>
      <c r="N389" s="2" t="s">
        <v>17</v>
      </c>
      <c r="O389" s="2" t="s">
        <v>17</v>
      </c>
      <c r="P389">
        <f t="shared" si="36"/>
        <v>0.97142857142857142</v>
      </c>
      <c r="Q389">
        <f t="shared" si="37"/>
        <v>0.98550724637681164</v>
      </c>
      <c r="R389">
        <f t="shared" si="38"/>
        <v>1</v>
      </c>
      <c r="S389">
        <f t="shared" si="39"/>
        <v>1</v>
      </c>
      <c r="T389">
        <f t="shared" si="40"/>
        <v>2</v>
      </c>
      <c r="U389">
        <f t="shared" si="41"/>
        <v>210.44882114877092</v>
      </c>
    </row>
    <row r="390" spans="1:21" x14ac:dyDescent="0.2">
      <c r="A390" s="3">
        <v>46046</v>
      </c>
      <c r="B390" s="2">
        <v>90490.1</v>
      </c>
      <c r="C390" s="2" t="s">
        <v>798</v>
      </c>
      <c r="D390" s="2">
        <v>33</v>
      </c>
      <c r="E390" s="2">
        <v>132</v>
      </c>
      <c r="F390" s="2">
        <v>1</v>
      </c>
      <c r="G390" s="2">
        <v>32</v>
      </c>
      <c r="H390" s="2" t="s">
        <v>799</v>
      </c>
      <c r="I390" s="2">
        <v>42</v>
      </c>
      <c r="J390" s="2">
        <v>168</v>
      </c>
      <c r="K390" s="2">
        <v>168</v>
      </c>
      <c r="L390" s="2">
        <v>-126</v>
      </c>
      <c r="M390" s="2">
        <v>-94</v>
      </c>
      <c r="N390" s="2" t="s">
        <v>17</v>
      </c>
      <c r="O390" s="2" t="s">
        <v>20</v>
      </c>
      <c r="P390">
        <f t="shared" si="36"/>
        <v>0.96969696969696972</v>
      </c>
      <c r="Q390">
        <f t="shared" si="37"/>
        <v>-3</v>
      </c>
      <c r="R390">
        <f t="shared" si="38"/>
        <v>1</v>
      </c>
      <c r="S390">
        <f t="shared" si="39"/>
        <v>-3</v>
      </c>
      <c r="T390">
        <f t="shared" si="40"/>
        <v>-2</v>
      </c>
      <c r="U390">
        <f t="shared" si="41"/>
        <v>208.44882114877092</v>
      </c>
    </row>
    <row r="391" spans="1:21" x14ac:dyDescent="0.2">
      <c r="A391" s="3">
        <v>46047</v>
      </c>
      <c r="B391" s="2">
        <v>89394.9</v>
      </c>
      <c r="C391" s="2" t="s">
        <v>800</v>
      </c>
      <c r="D391" s="2">
        <v>36</v>
      </c>
      <c r="E391" s="2">
        <v>144</v>
      </c>
      <c r="F391" s="2">
        <v>1</v>
      </c>
      <c r="G391" s="2">
        <v>35</v>
      </c>
      <c r="H391" s="2" t="s">
        <v>801</v>
      </c>
      <c r="I391" s="2">
        <v>38</v>
      </c>
      <c r="J391" s="2">
        <v>152</v>
      </c>
      <c r="K391" s="2">
        <v>152</v>
      </c>
      <c r="L391" s="2">
        <v>-114</v>
      </c>
      <c r="M391" s="2">
        <v>-79</v>
      </c>
      <c r="N391" s="2" t="s">
        <v>17</v>
      </c>
      <c r="O391" s="2" t="s">
        <v>20</v>
      </c>
      <c r="P391">
        <f t="shared" si="36"/>
        <v>0.97222222222222221</v>
      </c>
      <c r="Q391">
        <f t="shared" si="37"/>
        <v>-3</v>
      </c>
      <c r="R391">
        <f t="shared" si="38"/>
        <v>1</v>
      </c>
      <c r="S391">
        <f t="shared" si="39"/>
        <v>-3</v>
      </c>
      <c r="T391">
        <f t="shared" si="40"/>
        <v>-2</v>
      </c>
      <c r="U391">
        <f t="shared" si="41"/>
        <v>206.44882114877092</v>
      </c>
    </row>
    <row r="392" spans="1:21" x14ac:dyDescent="0.2">
      <c r="A392" s="3">
        <v>46048</v>
      </c>
      <c r="B392" s="2">
        <v>87483.8</v>
      </c>
      <c r="C392" s="2" t="s">
        <v>802</v>
      </c>
      <c r="D392" s="2">
        <v>32</v>
      </c>
      <c r="E392" s="2">
        <v>128</v>
      </c>
      <c r="F392" s="2">
        <v>1</v>
      </c>
      <c r="G392" s="2">
        <v>31</v>
      </c>
      <c r="H392" s="2" t="s">
        <v>803</v>
      </c>
      <c r="I392" s="2">
        <v>139</v>
      </c>
      <c r="J392" s="2">
        <v>556</v>
      </c>
      <c r="K392" s="2">
        <v>1</v>
      </c>
      <c r="L392" s="2">
        <v>138</v>
      </c>
      <c r="M392" s="2">
        <v>169</v>
      </c>
      <c r="N392" s="2" t="s">
        <v>17</v>
      </c>
      <c r="O392" s="2" t="s">
        <v>17</v>
      </c>
      <c r="P392">
        <f t="shared" si="36"/>
        <v>0.96875</v>
      </c>
      <c r="Q392">
        <f t="shared" si="37"/>
        <v>0.9928057553956835</v>
      </c>
      <c r="R392">
        <f t="shared" si="38"/>
        <v>1</v>
      </c>
      <c r="S392">
        <f t="shared" si="39"/>
        <v>1</v>
      </c>
      <c r="T392">
        <f t="shared" si="40"/>
        <v>2</v>
      </c>
      <c r="U392">
        <f t="shared" si="41"/>
        <v>208.44882114877092</v>
      </c>
    </row>
    <row r="393" spans="1:21" x14ac:dyDescent="0.2">
      <c r="A393" s="3">
        <v>46049</v>
      </c>
      <c r="B393" s="2">
        <v>88498</v>
      </c>
      <c r="C393" s="2" t="s">
        <v>804</v>
      </c>
      <c r="D393" s="2">
        <v>32</v>
      </c>
      <c r="E393" s="2">
        <v>128</v>
      </c>
      <c r="F393" s="2">
        <v>1</v>
      </c>
      <c r="G393" s="2">
        <v>31</v>
      </c>
      <c r="H393" s="2" t="s">
        <v>805</v>
      </c>
      <c r="I393" s="2">
        <v>31</v>
      </c>
      <c r="J393" s="2">
        <v>124</v>
      </c>
      <c r="K393" s="2">
        <v>1</v>
      </c>
      <c r="L393" s="2">
        <v>30</v>
      </c>
      <c r="M393" s="2">
        <v>61</v>
      </c>
      <c r="N393" s="2" t="s">
        <v>17</v>
      </c>
      <c r="O393" s="2" t="s">
        <v>17</v>
      </c>
      <c r="P393">
        <f t="shared" si="36"/>
        <v>0.96875</v>
      </c>
      <c r="Q393">
        <f t="shared" si="37"/>
        <v>0.967741935483871</v>
      </c>
      <c r="R393">
        <f t="shared" si="38"/>
        <v>1</v>
      </c>
      <c r="S393">
        <f t="shared" si="39"/>
        <v>1</v>
      </c>
      <c r="T393">
        <f t="shared" si="40"/>
        <v>2</v>
      </c>
      <c r="U393">
        <f t="shared" si="41"/>
        <v>210.44882114877092</v>
      </c>
    </row>
    <row r="394" spans="1:21" x14ac:dyDescent="0.2">
      <c r="A394" s="3">
        <v>46050</v>
      </c>
      <c r="B394" s="2">
        <v>88235.199999999997</v>
      </c>
      <c r="C394" s="2" t="s">
        <v>806</v>
      </c>
      <c r="D394" s="2">
        <v>54</v>
      </c>
      <c r="E394" s="2">
        <v>216</v>
      </c>
      <c r="F394" s="2">
        <v>216</v>
      </c>
      <c r="G394" s="2">
        <v>-162</v>
      </c>
      <c r="H394" s="2" t="s">
        <v>807</v>
      </c>
      <c r="I394" s="2">
        <v>41</v>
      </c>
      <c r="J394" s="2">
        <v>164</v>
      </c>
      <c r="K394" s="2">
        <v>1</v>
      </c>
      <c r="L394" s="2">
        <v>40</v>
      </c>
      <c r="M394" s="2">
        <v>-122</v>
      </c>
      <c r="N394" s="2" t="s">
        <v>20</v>
      </c>
      <c r="O394" s="2" t="s">
        <v>17</v>
      </c>
      <c r="P394">
        <f t="shared" si="36"/>
        <v>-3</v>
      </c>
      <c r="Q394">
        <f t="shared" si="37"/>
        <v>0.97560975609756095</v>
      </c>
      <c r="R394">
        <f t="shared" si="38"/>
        <v>-3</v>
      </c>
      <c r="S394">
        <f t="shared" si="39"/>
        <v>1</v>
      </c>
      <c r="T394">
        <f t="shared" si="40"/>
        <v>-2</v>
      </c>
      <c r="U394">
        <f t="shared" si="41"/>
        <v>208.44882114877092</v>
      </c>
    </row>
    <row r="395" spans="1:21" x14ac:dyDescent="0.2">
      <c r="A395" s="3">
        <v>46051</v>
      </c>
      <c r="B395" s="2">
        <v>89627.9</v>
      </c>
      <c r="C395" s="2" t="s">
        <v>808</v>
      </c>
      <c r="D395" s="2">
        <v>56</v>
      </c>
      <c r="E395" s="2">
        <v>224</v>
      </c>
      <c r="F395" s="2">
        <v>1</v>
      </c>
      <c r="G395" s="2">
        <v>55</v>
      </c>
      <c r="H395" s="2" t="s">
        <v>809</v>
      </c>
      <c r="I395" s="2">
        <v>33</v>
      </c>
      <c r="J395" s="2">
        <v>132</v>
      </c>
      <c r="K395" s="2">
        <v>1</v>
      </c>
      <c r="L395" s="2">
        <v>32</v>
      </c>
      <c r="M395" s="2">
        <v>87</v>
      </c>
      <c r="N395" s="2" t="s">
        <v>17</v>
      </c>
      <c r="O395" s="2" t="s">
        <v>17</v>
      </c>
      <c r="P395">
        <f t="shared" si="36"/>
        <v>0.9821428571428571</v>
      </c>
      <c r="Q395">
        <f t="shared" si="37"/>
        <v>0.96969696969696972</v>
      </c>
      <c r="R395">
        <f t="shared" si="38"/>
        <v>1</v>
      </c>
      <c r="S395">
        <f t="shared" si="39"/>
        <v>1</v>
      </c>
      <c r="T395">
        <f t="shared" si="40"/>
        <v>2</v>
      </c>
      <c r="U395">
        <f t="shared" si="41"/>
        <v>210.44882114877092</v>
      </c>
    </row>
    <row r="396" spans="1:21" x14ac:dyDescent="0.2">
      <c r="A396" s="3">
        <v>46052</v>
      </c>
      <c r="B396" s="2">
        <v>83456.2</v>
      </c>
      <c r="C396" s="2" t="s">
        <v>810</v>
      </c>
      <c r="D396" s="2">
        <v>33</v>
      </c>
      <c r="E396" s="2">
        <v>132</v>
      </c>
      <c r="F396" s="2">
        <v>1</v>
      </c>
      <c r="G396" s="2">
        <v>32</v>
      </c>
      <c r="H396" s="2" t="s">
        <v>811</v>
      </c>
      <c r="I396" s="2">
        <v>67</v>
      </c>
      <c r="J396" s="2">
        <v>268</v>
      </c>
      <c r="K396" s="2">
        <v>1</v>
      </c>
      <c r="L396" s="2">
        <v>66</v>
      </c>
      <c r="M396" s="2">
        <v>98</v>
      </c>
      <c r="N396" s="2" t="s">
        <v>17</v>
      </c>
      <c r="O396" s="2" t="s">
        <v>17</v>
      </c>
      <c r="P396">
        <f t="shared" si="36"/>
        <v>0.96969696969696972</v>
      </c>
      <c r="Q396">
        <f t="shared" si="37"/>
        <v>0.9850746268656716</v>
      </c>
      <c r="R396">
        <f t="shared" si="38"/>
        <v>1</v>
      </c>
      <c r="S396">
        <f t="shared" si="39"/>
        <v>1</v>
      </c>
      <c r="T396">
        <f t="shared" si="40"/>
        <v>2</v>
      </c>
      <c r="U396">
        <f t="shared" si="41"/>
        <v>212.44882114877092</v>
      </c>
    </row>
    <row r="397" spans="1:21" x14ac:dyDescent="0.2">
      <c r="A397" s="3">
        <v>46053</v>
      </c>
      <c r="B397" s="2">
        <v>83931.8</v>
      </c>
      <c r="C397" s="2" t="s">
        <v>812</v>
      </c>
      <c r="D397" s="2">
        <v>30</v>
      </c>
      <c r="E397" s="2">
        <v>120</v>
      </c>
      <c r="F397" s="2">
        <v>1</v>
      </c>
      <c r="G397" s="2">
        <v>29</v>
      </c>
      <c r="H397" s="2" t="s">
        <v>813</v>
      </c>
      <c r="I397" s="2">
        <v>37</v>
      </c>
      <c r="J397" s="2">
        <v>148</v>
      </c>
      <c r="K397" s="2">
        <v>1</v>
      </c>
      <c r="L397" s="2">
        <v>36</v>
      </c>
      <c r="M397" s="2">
        <v>65</v>
      </c>
      <c r="N397" s="2" t="s">
        <v>17</v>
      </c>
      <c r="O397" s="2" t="s">
        <v>17</v>
      </c>
      <c r="P397">
        <f t="shared" si="36"/>
        <v>0.96666666666666667</v>
      </c>
      <c r="Q397">
        <f t="shared" si="37"/>
        <v>0.97297297297297303</v>
      </c>
      <c r="R397">
        <f t="shared" si="38"/>
        <v>1</v>
      </c>
      <c r="S397">
        <f t="shared" si="39"/>
        <v>1</v>
      </c>
      <c r="T397">
        <f t="shared" si="40"/>
        <v>2</v>
      </c>
      <c r="U397">
        <f t="shared" si="41"/>
        <v>214.44882114877092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F65C-F2D2-495C-8BE3-E2EC2737E0F2}">
  <dimension ref="A1:I397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0.33203125" bestFit="1" customWidth="1"/>
    <col min="5" max="5" width="15.1640625" bestFit="1" customWidth="1"/>
    <col min="8" max="8" width="12.6640625" bestFit="1" customWidth="1"/>
  </cols>
  <sheetData>
    <row r="1" spans="1:9" x14ac:dyDescent="0.2">
      <c r="A1" s="2" t="s">
        <v>0</v>
      </c>
      <c r="B1" t="s">
        <v>814</v>
      </c>
      <c r="C1" t="s">
        <v>324</v>
      </c>
    </row>
    <row r="2" spans="1:9" x14ac:dyDescent="0.2">
      <c r="A2" s="1">
        <v>45658</v>
      </c>
      <c r="B2">
        <v>2</v>
      </c>
      <c r="C2">
        <f>B2/2</f>
        <v>1</v>
      </c>
      <c r="E2" t="s">
        <v>815</v>
      </c>
      <c r="F2">
        <f>AVERAGE(C:C)</f>
        <v>0.27076871357168047</v>
      </c>
      <c r="H2" t="s">
        <v>817</v>
      </c>
      <c r="I2">
        <f>F2*365</f>
        <v>98.830580453663373</v>
      </c>
    </row>
    <row r="3" spans="1:9" x14ac:dyDescent="0.2">
      <c r="A3" s="1">
        <v>45659</v>
      </c>
      <c r="B3">
        <v>-2</v>
      </c>
      <c r="C3">
        <f t="shared" ref="C3:C66" si="0">B3/2</f>
        <v>-1</v>
      </c>
      <c r="E3" t="s">
        <v>816</v>
      </c>
      <c r="F3">
        <f>_xlfn.STDEV.S(C:C)</f>
        <v>1.0264735231571109</v>
      </c>
    </row>
    <row r="4" spans="1:9" x14ac:dyDescent="0.2">
      <c r="A4" s="1">
        <v>45660</v>
      </c>
      <c r="B4">
        <v>2</v>
      </c>
      <c r="C4">
        <f t="shared" si="0"/>
        <v>1</v>
      </c>
    </row>
    <row r="5" spans="1:9" x14ac:dyDescent="0.2">
      <c r="A5" s="1">
        <v>45661</v>
      </c>
      <c r="B5">
        <v>2</v>
      </c>
      <c r="C5">
        <f t="shared" si="0"/>
        <v>1</v>
      </c>
      <c r="E5" t="s">
        <v>818</v>
      </c>
      <c r="F5">
        <f>SUM(C:C)</f>
        <v>107.22441057438546</v>
      </c>
    </row>
    <row r="6" spans="1:9" x14ac:dyDescent="0.2">
      <c r="A6" s="1">
        <v>45662</v>
      </c>
      <c r="B6">
        <v>2</v>
      </c>
      <c r="C6">
        <f t="shared" si="0"/>
        <v>1</v>
      </c>
      <c r="E6" t="s">
        <v>817</v>
      </c>
      <c r="F6">
        <f>(F5/COUNT(C:C))*365</f>
        <v>98.830580453663373</v>
      </c>
    </row>
    <row r="7" spans="1:9" x14ac:dyDescent="0.2">
      <c r="A7" s="1">
        <v>45663</v>
      </c>
      <c r="B7">
        <v>-2</v>
      </c>
      <c r="C7">
        <f t="shared" si="0"/>
        <v>-1</v>
      </c>
      <c r="E7" t="s">
        <v>819</v>
      </c>
      <c r="F7">
        <f>F3*SQRT(365)</f>
        <v>19.61074912429504</v>
      </c>
    </row>
    <row r="8" spans="1:9" x14ac:dyDescent="0.2">
      <c r="A8" s="1">
        <v>45664</v>
      </c>
      <c r="B8">
        <v>2</v>
      </c>
      <c r="C8">
        <f t="shared" si="0"/>
        <v>1</v>
      </c>
      <c r="E8" t="s">
        <v>820</v>
      </c>
      <c r="F8">
        <v>6</v>
      </c>
    </row>
    <row r="9" spans="1:9" x14ac:dyDescent="0.2">
      <c r="A9" s="1">
        <v>45665</v>
      </c>
      <c r="B9">
        <v>2</v>
      </c>
      <c r="C9">
        <f t="shared" si="0"/>
        <v>1</v>
      </c>
      <c r="E9" t="s">
        <v>821</v>
      </c>
      <c r="F9">
        <f>(F6-F8)/F7</f>
        <v>4.7336580497406375</v>
      </c>
    </row>
    <row r="10" spans="1:9" x14ac:dyDescent="0.2">
      <c r="A10" s="1">
        <v>45666</v>
      </c>
      <c r="B10">
        <v>2</v>
      </c>
      <c r="C10">
        <f t="shared" si="0"/>
        <v>1</v>
      </c>
      <c r="E10" t="s">
        <v>822</v>
      </c>
      <c r="F10">
        <f>F6/F7</f>
        <v>5.0396127056271292</v>
      </c>
    </row>
    <row r="11" spans="1:9" x14ac:dyDescent="0.2">
      <c r="A11" s="1">
        <v>45667</v>
      </c>
      <c r="B11">
        <v>2</v>
      </c>
      <c r="C11">
        <f t="shared" si="0"/>
        <v>1</v>
      </c>
    </row>
    <row r="12" spans="1:9" x14ac:dyDescent="0.2">
      <c r="A12" s="1">
        <v>45668</v>
      </c>
      <c r="B12">
        <v>2</v>
      </c>
      <c r="C12">
        <f t="shared" si="0"/>
        <v>1</v>
      </c>
    </row>
    <row r="13" spans="1:9" x14ac:dyDescent="0.2">
      <c r="A13" s="1">
        <v>45669</v>
      </c>
      <c r="B13">
        <v>2</v>
      </c>
      <c r="C13">
        <f t="shared" si="0"/>
        <v>1</v>
      </c>
    </row>
    <row r="14" spans="1:9" x14ac:dyDescent="0.2">
      <c r="A14" s="1">
        <v>45670</v>
      </c>
      <c r="B14">
        <v>-2</v>
      </c>
      <c r="C14">
        <f t="shared" si="0"/>
        <v>-1</v>
      </c>
    </row>
    <row r="15" spans="1:9" x14ac:dyDescent="0.2">
      <c r="A15" s="1">
        <v>45671</v>
      </c>
      <c r="B15">
        <v>-2</v>
      </c>
      <c r="C15">
        <f t="shared" si="0"/>
        <v>-1</v>
      </c>
    </row>
    <row r="16" spans="1:9" x14ac:dyDescent="0.2">
      <c r="A16" s="1">
        <v>45672</v>
      </c>
      <c r="B16">
        <v>2</v>
      </c>
      <c r="C16">
        <f t="shared" si="0"/>
        <v>1</v>
      </c>
    </row>
    <row r="17" spans="1:3" x14ac:dyDescent="0.2">
      <c r="A17" s="1">
        <v>45673</v>
      </c>
      <c r="B17">
        <v>2</v>
      </c>
      <c r="C17">
        <f t="shared" si="0"/>
        <v>1</v>
      </c>
    </row>
    <row r="18" spans="1:3" x14ac:dyDescent="0.2">
      <c r="A18" s="1">
        <v>45674</v>
      </c>
      <c r="B18">
        <v>-2</v>
      </c>
      <c r="C18">
        <f t="shared" si="0"/>
        <v>-1</v>
      </c>
    </row>
    <row r="19" spans="1:3" x14ac:dyDescent="0.2">
      <c r="A19" s="1">
        <v>45675</v>
      </c>
      <c r="B19">
        <v>2</v>
      </c>
      <c r="C19">
        <f t="shared" si="0"/>
        <v>1</v>
      </c>
    </row>
    <row r="20" spans="1:3" x14ac:dyDescent="0.2">
      <c r="A20" s="1">
        <v>45676</v>
      </c>
      <c r="B20">
        <v>2</v>
      </c>
      <c r="C20">
        <f t="shared" si="0"/>
        <v>1</v>
      </c>
    </row>
    <row r="21" spans="1:3" x14ac:dyDescent="0.2">
      <c r="A21" s="1">
        <v>45677</v>
      </c>
      <c r="B21">
        <v>-6</v>
      </c>
      <c r="C21">
        <f t="shared" si="0"/>
        <v>-3</v>
      </c>
    </row>
    <row r="22" spans="1:3" x14ac:dyDescent="0.2">
      <c r="A22" s="1">
        <v>45678</v>
      </c>
      <c r="B22">
        <v>2</v>
      </c>
      <c r="C22">
        <f t="shared" si="0"/>
        <v>1</v>
      </c>
    </row>
    <row r="23" spans="1:3" x14ac:dyDescent="0.2">
      <c r="A23" s="1">
        <v>45679</v>
      </c>
      <c r="B23">
        <v>2</v>
      </c>
      <c r="C23">
        <f t="shared" si="0"/>
        <v>1</v>
      </c>
    </row>
    <row r="24" spans="1:3" x14ac:dyDescent="0.2">
      <c r="A24" s="1">
        <v>45680</v>
      </c>
      <c r="B24">
        <v>2</v>
      </c>
      <c r="C24">
        <f t="shared" si="0"/>
        <v>1</v>
      </c>
    </row>
    <row r="25" spans="1:3" x14ac:dyDescent="0.2">
      <c r="A25" s="1">
        <v>45681</v>
      </c>
      <c r="B25">
        <v>2</v>
      </c>
      <c r="C25">
        <f t="shared" si="0"/>
        <v>1</v>
      </c>
    </row>
    <row r="26" spans="1:3" x14ac:dyDescent="0.2">
      <c r="A26" s="1">
        <v>45682</v>
      </c>
      <c r="B26">
        <v>2</v>
      </c>
      <c r="C26">
        <f t="shared" si="0"/>
        <v>1</v>
      </c>
    </row>
    <row r="27" spans="1:3" x14ac:dyDescent="0.2">
      <c r="A27" s="1">
        <v>45683</v>
      </c>
      <c r="B27">
        <v>2</v>
      </c>
      <c r="C27">
        <f t="shared" si="0"/>
        <v>1</v>
      </c>
    </row>
    <row r="28" spans="1:3" x14ac:dyDescent="0.2">
      <c r="A28" s="1">
        <v>45684</v>
      </c>
      <c r="B28">
        <v>-2</v>
      </c>
      <c r="C28">
        <f t="shared" si="0"/>
        <v>-1</v>
      </c>
    </row>
    <row r="29" spans="1:3" x14ac:dyDescent="0.2">
      <c r="A29" s="1">
        <v>45685</v>
      </c>
      <c r="B29">
        <v>2</v>
      </c>
      <c r="C29">
        <f t="shared" si="0"/>
        <v>1</v>
      </c>
    </row>
    <row r="30" spans="1:3" x14ac:dyDescent="0.2">
      <c r="A30" s="1">
        <v>45686</v>
      </c>
      <c r="B30">
        <v>2</v>
      </c>
      <c r="C30">
        <f t="shared" si="0"/>
        <v>1</v>
      </c>
    </row>
    <row r="31" spans="1:3" x14ac:dyDescent="0.2">
      <c r="A31" s="1">
        <v>45687</v>
      </c>
      <c r="B31">
        <v>2</v>
      </c>
      <c r="C31">
        <f t="shared" si="0"/>
        <v>1</v>
      </c>
    </row>
    <row r="32" spans="1:3" x14ac:dyDescent="0.2">
      <c r="A32" s="1">
        <v>45688</v>
      </c>
      <c r="B32">
        <v>2</v>
      </c>
      <c r="C32">
        <f t="shared" si="0"/>
        <v>1</v>
      </c>
    </row>
    <row r="33" spans="1:3" x14ac:dyDescent="0.2">
      <c r="A33" s="1">
        <v>45689</v>
      </c>
      <c r="B33">
        <v>2</v>
      </c>
      <c r="C33">
        <f t="shared" si="0"/>
        <v>1</v>
      </c>
    </row>
    <row r="34" spans="1:3" x14ac:dyDescent="0.2">
      <c r="A34" s="1">
        <v>45690</v>
      </c>
      <c r="B34">
        <v>-2</v>
      </c>
      <c r="C34">
        <f t="shared" si="0"/>
        <v>-1</v>
      </c>
    </row>
    <row r="35" spans="1:3" x14ac:dyDescent="0.2">
      <c r="A35" s="1">
        <v>45691</v>
      </c>
      <c r="B35">
        <v>-2</v>
      </c>
      <c r="C35">
        <f t="shared" si="0"/>
        <v>-1</v>
      </c>
    </row>
    <row r="36" spans="1:3" x14ac:dyDescent="0.2">
      <c r="A36" s="1">
        <v>45692</v>
      </c>
      <c r="B36">
        <v>2</v>
      </c>
      <c r="C36">
        <f t="shared" si="0"/>
        <v>1</v>
      </c>
    </row>
    <row r="37" spans="1:3" x14ac:dyDescent="0.2">
      <c r="A37" s="1">
        <v>45693</v>
      </c>
      <c r="B37">
        <v>2</v>
      </c>
      <c r="C37">
        <f t="shared" si="0"/>
        <v>1</v>
      </c>
    </row>
    <row r="38" spans="1:3" x14ac:dyDescent="0.2">
      <c r="A38" s="1">
        <v>45694</v>
      </c>
      <c r="B38">
        <v>2</v>
      </c>
      <c r="C38">
        <f t="shared" si="0"/>
        <v>1</v>
      </c>
    </row>
    <row r="39" spans="1:3" x14ac:dyDescent="0.2">
      <c r="A39" s="1">
        <v>45695</v>
      </c>
      <c r="B39">
        <v>2</v>
      </c>
      <c r="C39">
        <f t="shared" si="0"/>
        <v>1</v>
      </c>
    </row>
    <row r="40" spans="1:3" x14ac:dyDescent="0.2">
      <c r="A40" s="1">
        <v>45696</v>
      </c>
      <c r="B40">
        <v>2</v>
      </c>
      <c r="C40">
        <f t="shared" si="0"/>
        <v>1</v>
      </c>
    </row>
    <row r="41" spans="1:3" x14ac:dyDescent="0.2">
      <c r="A41" s="1">
        <v>45697</v>
      </c>
      <c r="B41">
        <v>2</v>
      </c>
      <c r="C41">
        <f t="shared" si="0"/>
        <v>1</v>
      </c>
    </row>
    <row r="42" spans="1:3" x14ac:dyDescent="0.2">
      <c r="A42" s="1">
        <v>45698</v>
      </c>
      <c r="B42">
        <v>2</v>
      </c>
      <c r="C42">
        <f t="shared" si="0"/>
        <v>1</v>
      </c>
    </row>
    <row r="43" spans="1:3" x14ac:dyDescent="0.2">
      <c r="A43" s="1">
        <v>45699</v>
      </c>
      <c r="B43">
        <v>2</v>
      </c>
      <c r="C43">
        <f t="shared" si="0"/>
        <v>1</v>
      </c>
    </row>
    <row r="44" spans="1:3" x14ac:dyDescent="0.2">
      <c r="A44" s="1">
        <v>45700</v>
      </c>
      <c r="B44">
        <v>2</v>
      </c>
      <c r="C44">
        <f t="shared" si="0"/>
        <v>1</v>
      </c>
    </row>
    <row r="45" spans="1:3" x14ac:dyDescent="0.2">
      <c r="A45" s="1">
        <v>45701</v>
      </c>
      <c r="B45">
        <v>2</v>
      </c>
      <c r="C45">
        <f t="shared" si="0"/>
        <v>1</v>
      </c>
    </row>
    <row r="46" spans="1:3" x14ac:dyDescent="0.2">
      <c r="A46" s="1">
        <v>45702</v>
      </c>
      <c r="B46">
        <v>2</v>
      </c>
      <c r="C46">
        <f t="shared" si="0"/>
        <v>1</v>
      </c>
    </row>
    <row r="47" spans="1:3" x14ac:dyDescent="0.2">
      <c r="A47" s="1">
        <v>45703</v>
      </c>
      <c r="B47">
        <v>2</v>
      </c>
      <c r="C47">
        <f t="shared" si="0"/>
        <v>1</v>
      </c>
    </row>
    <row r="48" spans="1:3" x14ac:dyDescent="0.2">
      <c r="A48" s="1">
        <v>45704</v>
      </c>
      <c r="B48">
        <v>2</v>
      </c>
      <c r="C48">
        <f t="shared" si="0"/>
        <v>1</v>
      </c>
    </row>
    <row r="49" spans="1:3" x14ac:dyDescent="0.2">
      <c r="A49" s="1">
        <v>45705</v>
      </c>
      <c r="B49">
        <v>2</v>
      </c>
      <c r="C49">
        <f t="shared" si="0"/>
        <v>1</v>
      </c>
    </row>
    <row r="50" spans="1:3" x14ac:dyDescent="0.2">
      <c r="A50" s="1">
        <v>45706</v>
      </c>
      <c r="B50">
        <v>2</v>
      </c>
      <c r="C50">
        <f t="shared" si="0"/>
        <v>1</v>
      </c>
    </row>
    <row r="51" spans="1:3" x14ac:dyDescent="0.2">
      <c r="A51" s="1">
        <v>45707</v>
      </c>
      <c r="B51">
        <v>2</v>
      </c>
      <c r="C51">
        <f t="shared" si="0"/>
        <v>1</v>
      </c>
    </row>
    <row r="52" spans="1:3" x14ac:dyDescent="0.2">
      <c r="A52" s="1">
        <v>45708</v>
      </c>
      <c r="B52">
        <v>-2</v>
      </c>
      <c r="C52">
        <f t="shared" si="0"/>
        <v>-1</v>
      </c>
    </row>
    <row r="53" spans="1:3" x14ac:dyDescent="0.2">
      <c r="A53" s="1">
        <v>45709</v>
      </c>
      <c r="B53">
        <v>2</v>
      </c>
      <c r="C53">
        <f t="shared" si="0"/>
        <v>1</v>
      </c>
    </row>
    <row r="54" spans="1:3" x14ac:dyDescent="0.2">
      <c r="A54" s="1">
        <v>45710</v>
      </c>
      <c r="B54">
        <v>2</v>
      </c>
      <c r="C54">
        <f t="shared" si="0"/>
        <v>1</v>
      </c>
    </row>
    <row r="55" spans="1:3" x14ac:dyDescent="0.2">
      <c r="A55" s="1">
        <v>45711</v>
      </c>
      <c r="B55">
        <v>2</v>
      </c>
      <c r="C55">
        <f t="shared" si="0"/>
        <v>1</v>
      </c>
    </row>
    <row r="56" spans="1:3" x14ac:dyDescent="0.2">
      <c r="A56" s="1">
        <v>45712</v>
      </c>
      <c r="B56">
        <v>2</v>
      </c>
      <c r="C56">
        <f t="shared" si="0"/>
        <v>1</v>
      </c>
    </row>
    <row r="57" spans="1:3" x14ac:dyDescent="0.2">
      <c r="A57" s="1">
        <v>45713</v>
      </c>
      <c r="B57">
        <v>-2</v>
      </c>
      <c r="C57">
        <f t="shared" si="0"/>
        <v>-1</v>
      </c>
    </row>
    <row r="58" spans="1:3" x14ac:dyDescent="0.2">
      <c r="A58" s="1">
        <v>45714</v>
      </c>
      <c r="B58">
        <v>2</v>
      </c>
      <c r="C58">
        <f t="shared" si="0"/>
        <v>1</v>
      </c>
    </row>
    <row r="59" spans="1:3" x14ac:dyDescent="0.2">
      <c r="A59" s="1">
        <v>45715</v>
      </c>
      <c r="B59">
        <v>2</v>
      </c>
      <c r="C59">
        <f t="shared" si="0"/>
        <v>1</v>
      </c>
    </row>
    <row r="60" spans="1:3" x14ac:dyDescent="0.2">
      <c r="A60" s="1">
        <v>45716</v>
      </c>
      <c r="B60">
        <v>-2</v>
      </c>
      <c r="C60">
        <f t="shared" si="0"/>
        <v>-1</v>
      </c>
    </row>
    <row r="61" spans="1:3" x14ac:dyDescent="0.2">
      <c r="A61" s="1">
        <v>45717</v>
      </c>
      <c r="B61">
        <v>2</v>
      </c>
      <c r="C61">
        <f t="shared" si="0"/>
        <v>1</v>
      </c>
    </row>
    <row r="62" spans="1:3" x14ac:dyDescent="0.2">
      <c r="A62" s="1">
        <v>45718</v>
      </c>
      <c r="B62">
        <v>2</v>
      </c>
      <c r="C62">
        <f t="shared" si="0"/>
        <v>1</v>
      </c>
    </row>
    <row r="63" spans="1:3" x14ac:dyDescent="0.2">
      <c r="A63" s="1">
        <v>45719</v>
      </c>
      <c r="B63">
        <v>2</v>
      </c>
      <c r="C63">
        <f t="shared" si="0"/>
        <v>1</v>
      </c>
    </row>
    <row r="64" spans="1:3" x14ac:dyDescent="0.2">
      <c r="A64" s="1">
        <v>45720</v>
      </c>
      <c r="B64">
        <v>-2</v>
      </c>
      <c r="C64">
        <f t="shared" si="0"/>
        <v>-1</v>
      </c>
    </row>
    <row r="65" spans="1:3" x14ac:dyDescent="0.2">
      <c r="A65" s="1">
        <v>45721</v>
      </c>
      <c r="B65">
        <v>2</v>
      </c>
      <c r="C65">
        <f t="shared" si="0"/>
        <v>1</v>
      </c>
    </row>
    <row r="66" spans="1:3" x14ac:dyDescent="0.2">
      <c r="A66" s="1">
        <v>45722</v>
      </c>
      <c r="B66">
        <v>2</v>
      </c>
      <c r="C66">
        <f t="shared" si="0"/>
        <v>1</v>
      </c>
    </row>
    <row r="67" spans="1:3" x14ac:dyDescent="0.2">
      <c r="A67" s="1">
        <v>45723</v>
      </c>
      <c r="B67">
        <v>-6</v>
      </c>
      <c r="C67">
        <f t="shared" ref="C67:C130" si="1">B67/2</f>
        <v>-3</v>
      </c>
    </row>
    <row r="68" spans="1:3" x14ac:dyDescent="0.2">
      <c r="A68" s="1">
        <v>45724</v>
      </c>
      <c r="B68">
        <v>2</v>
      </c>
      <c r="C68">
        <f t="shared" si="1"/>
        <v>1</v>
      </c>
    </row>
    <row r="69" spans="1:3" x14ac:dyDescent="0.2">
      <c r="A69" s="1">
        <v>45725</v>
      </c>
      <c r="B69">
        <v>2</v>
      </c>
      <c r="C69">
        <f t="shared" si="1"/>
        <v>1</v>
      </c>
    </row>
    <row r="70" spans="1:3" x14ac:dyDescent="0.2">
      <c r="A70" s="1">
        <v>45726</v>
      </c>
      <c r="B70">
        <v>2</v>
      </c>
      <c r="C70">
        <f t="shared" si="1"/>
        <v>1</v>
      </c>
    </row>
    <row r="71" spans="1:3" x14ac:dyDescent="0.2">
      <c r="A71" s="1">
        <v>45727</v>
      </c>
      <c r="B71">
        <v>2</v>
      </c>
      <c r="C71">
        <f t="shared" si="1"/>
        <v>1</v>
      </c>
    </row>
    <row r="72" spans="1:3" x14ac:dyDescent="0.2">
      <c r="A72" s="1">
        <v>45728</v>
      </c>
      <c r="B72">
        <v>2</v>
      </c>
      <c r="C72">
        <f t="shared" si="1"/>
        <v>1</v>
      </c>
    </row>
    <row r="73" spans="1:3" x14ac:dyDescent="0.2">
      <c r="A73" s="1">
        <v>45729</v>
      </c>
      <c r="B73">
        <v>2</v>
      </c>
      <c r="C73">
        <f t="shared" si="1"/>
        <v>1</v>
      </c>
    </row>
    <row r="74" spans="1:3" x14ac:dyDescent="0.2">
      <c r="A74" s="1">
        <v>45730</v>
      </c>
      <c r="B74">
        <v>2</v>
      </c>
      <c r="C74">
        <f t="shared" si="1"/>
        <v>1</v>
      </c>
    </row>
    <row r="75" spans="1:3" x14ac:dyDescent="0.2">
      <c r="A75" s="1">
        <v>45731</v>
      </c>
      <c r="B75">
        <v>2</v>
      </c>
      <c r="C75">
        <f t="shared" si="1"/>
        <v>1</v>
      </c>
    </row>
    <row r="76" spans="1:3" x14ac:dyDescent="0.2">
      <c r="A76" s="1">
        <v>45732</v>
      </c>
      <c r="B76">
        <v>2</v>
      </c>
      <c r="C76">
        <f t="shared" si="1"/>
        <v>1</v>
      </c>
    </row>
    <row r="77" spans="1:3" x14ac:dyDescent="0.2">
      <c r="A77" s="1">
        <v>45733</v>
      </c>
      <c r="B77">
        <v>2</v>
      </c>
      <c r="C77">
        <f t="shared" si="1"/>
        <v>1</v>
      </c>
    </row>
    <row r="78" spans="1:3" x14ac:dyDescent="0.2">
      <c r="A78" s="1">
        <v>45734</v>
      </c>
      <c r="B78">
        <v>-2</v>
      </c>
      <c r="C78">
        <f t="shared" si="1"/>
        <v>-1</v>
      </c>
    </row>
    <row r="79" spans="1:3" x14ac:dyDescent="0.2">
      <c r="A79" s="1">
        <v>45735</v>
      </c>
      <c r="B79">
        <v>-2</v>
      </c>
      <c r="C79">
        <f t="shared" si="1"/>
        <v>-1</v>
      </c>
    </row>
    <row r="80" spans="1:3" x14ac:dyDescent="0.2">
      <c r="A80" s="1">
        <v>45736</v>
      </c>
      <c r="B80">
        <v>-2</v>
      </c>
      <c r="C80">
        <f t="shared" si="1"/>
        <v>-1</v>
      </c>
    </row>
    <row r="81" spans="1:3" x14ac:dyDescent="0.2">
      <c r="A81" s="1">
        <v>45737</v>
      </c>
      <c r="B81">
        <v>2</v>
      </c>
      <c r="C81">
        <f t="shared" si="1"/>
        <v>1</v>
      </c>
    </row>
    <row r="82" spans="1:3" x14ac:dyDescent="0.2">
      <c r="A82" s="1">
        <v>45738</v>
      </c>
      <c r="B82">
        <v>2</v>
      </c>
      <c r="C82">
        <f t="shared" si="1"/>
        <v>1</v>
      </c>
    </row>
    <row r="83" spans="1:3" x14ac:dyDescent="0.2">
      <c r="A83" s="1">
        <v>45739</v>
      </c>
      <c r="B83">
        <v>-2</v>
      </c>
      <c r="C83">
        <f t="shared" si="1"/>
        <v>-1</v>
      </c>
    </row>
    <row r="84" spans="1:3" x14ac:dyDescent="0.2">
      <c r="A84" s="1">
        <v>45740</v>
      </c>
      <c r="B84">
        <v>-2</v>
      </c>
      <c r="C84">
        <f t="shared" si="1"/>
        <v>-1</v>
      </c>
    </row>
    <row r="85" spans="1:3" x14ac:dyDescent="0.2">
      <c r="A85" s="1">
        <v>45741</v>
      </c>
      <c r="B85">
        <v>-2</v>
      </c>
      <c r="C85">
        <f t="shared" si="1"/>
        <v>-1</v>
      </c>
    </row>
    <row r="86" spans="1:3" x14ac:dyDescent="0.2">
      <c r="A86" s="1">
        <v>45742</v>
      </c>
      <c r="B86">
        <v>2</v>
      </c>
      <c r="C86">
        <f t="shared" si="1"/>
        <v>1</v>
      </c>
    </row>
    <row r="87" spans="1:3" x14ac:dyDescent="0.2">
      <c r="A87" s="1">
        <v>45743</v>
      </c>
      <c r="B87">
        <v>2</v>
      </c>
      <c r="C87">
        <f t="shared" si="1"/>
        <v>1</v>
      </c>
    </row>
    <row r="88" spans="1:3" x14ac:dyDescent="0.2">
      <c r="A88" s="1">
        <v>45744</v>
      </c>
      <c r="B88">
        <v>-2</v>
      </c>
      <c r="C88">
        <f t="shared" si="1"/>
        <v>-1</v>
      </c>
    </row>
    <row r="89" spans="1:3" x14ac:dyDescent="0.2">
      <c r="A89" s="1">
        <v>45745</v>
      </c>
      <c r="B89">
        <v>2</v>
      </c>
      <c r="C89">
        <f t="shared" si="1"/>
        <v>1</v>
      </c>
    </row>
    <row r="90" spans="1:3" x14ac:dyDescent="0.2">
      <c r="A90" s="1">
        <v>45746</v>
      </c>
      <c r="B90">
        <v>2</v>
      </c>
      <c r="C90">
        <f t="shared" si="1"/>
        <v>1</v>
      </c>
    </row>
    <row r="91" spans="1:3" x14ac:dyDescent="0.2">
      <c r="A91" s="1">
        <v>45747</v>
      </c>
      <c r="B91">
        <v>-2</v>
      </c>
      <c r="C91">
        <f t="shared" si="1"/>
        <v>-1</v>
      </c>
    </row>
    <row r="92" spans="1:3" x14ac:dyDescent="0.2">
      <c r="A92" s="1">
        <v>45748</v>
      </c>
      <c r="B92">
        <v>2</v>
      </c>
      <c r="C92">
        <f t="shared" si="1"/>
        <v>1</v>
      </c>
    </row>
    <row r="93" spans="1:3" x14ac:dyDescent="0.2">
      <c r="A93" s="1">
        <v>45749</v>
      </c>
      <c r="B93">
        <v>2</v>
      </c>
      <c r="C93">
        <f t="shared" si="1"/>
        <v>1</v>
      </c>
    </row>
    <row r="94" spans="1:3" x14ac:dyDescent="0.2">
      <c r="A94" s="1">
        <v>45750</v>
      </c>
      <c r="B94">
        <v>-6</v>
      </c>
      <c r="C94">
        <f t="shared" si="1"/>
        <v>-3</v>
      </c>
    </row>
    <row r="95" spans="1:3" x14ac:dyDescent="0.2">
      <c r="A95" s="1">
        <v>45751</v>
      </c>
      <c r="B95">
        <v>-2</v>
      </c>
      <c r="C95">
        <f t="shared" si="1"/>
        <v>-1</v>
      </c>
    </row>
    <row r="96" spans="1:3" x14ac:dyDescent="0.2">
      <c r="A96" s="1">
        <v>45752</v>
      </c>
      <c r="B96">
        <v>2</v>
      </c>
      <c r="C96">
        <f t="shared" si="1"/>
        <v>1</v>
      </c>
    </row>
    <row r="97" spans="1:3" x14ac:dyDescent="0.2">
      <c r="A97" s="1">
        <v>45753</v>
      </c>
      <c r="B97">
        <v>2</v>
      </c>
      <c r="C97">
        <f t="shared" si="1"/>
        <v>1</v>
      </c>
    </row>
    <row r="98" spans="1:3" x14ac:dyDescent="0.2">
      <c r="A98" s="1">
        <v>45754</v>
      </c>
      <c r="B98">
        <v>2</v>
      </c>
      <c r="C98">
        <f t="shared" si="1"/>
        <v>1</v>
      </c>
    </row>
    <row r="99" spans="1:3" x14ac:dyDescent="0.2">
      <c r="A99" s="1">
        <v>45755</v>
      </c>
      <c r="B99">
        <v>2</v>
      </c>
      <c r="C99">
        <f t="shared" si="1"/>
        <v>1</v>
      </c>
    </row>
    <row r="100" spans="1:3" x14ac:dyDescent="0.2">
      <c r="A100" s="1">
        <v>45756</v>
      </c>
      <c r="B100">
        <v>-2</v>
      </c>
      <c r="C100">
        <f t="shared" si="1"/>
        <v>-1</v>
      </c>
    </row>
    <row r="101" spans="1:3" x14ac:dyDescent="0.2">
      <c r="A101" s="1">
        <v>45757</v>
      </c>
      <c r="B101">
        <v>2</v>
      </c>
      <c r="C101">
        <f t="shared" si="1"/>
        <v>1</v>
      </c>
    </row>
    <row r="102" spans="1:3" x14ac:dyDescent="0.2">
      <c r="A102" s="1">
        <v>45758</v>
      </c>
      <c r="B102">
        <v>-2</v>
      </c>
      <c r="C102">
        <f t="shared" si="1"/>
        <v>-1</v>
      </c>
    </row>
    <row r="103" spans="1:3" x14ac:dyDescent="0.2">
      <c r="A103" s="1">
        <v>45759</v>
      </c>
      <c r="B103">
        <v>2</v>
      </c>
      <c r="C103">
        <f t="shared" si="1"/>
        <v>1</v>
      </c>
    </row>
    <row r="104" spans="1:3" x14ac:dyDescent="0.2">
      <c r="A104" s="1">
        <v>45760</v>
      </c>
      <c r="B104">
        <v>2</v>
      </c>
      <c r="C104">
        <f t="shared" si="1"/>
        <v>1</v>
      </c>
    </row>
    <row r="105" spans="1:3" x14ac:dyDescent="0.2">
      <c r="A105" s="1">
        <v>45761</v>
      </c>
      <c r="B105">
        <v>2</v>
      </c>
      <c r="C105">
        <f t="shared" si="1"/>
        <v>1</v>
      </c>
    </row>
    <row r="106" spans="1:3" x14ac:dyDescent="0.2">
      <c r="A106" s="1">
        <v>45762</v>
      </c>
      <c r="B106">
        <v>2</v>
      </c>
      <c r="C106">
        <f t="shared" si="1"/>
        <v>1</v>
      </c>
    </row>
    <row r="107" spans="1:3" x14ac:dyDescent="0.2">
      <c r="A107" s="1">
        <v>45763</v>
      </c>
      <c r="B107">
        <v>2</v>
      </c>
      <c r="C107">
        <f t="shared" si="1"/>
        <v>1</v>
      </c>
    </row>
    <row r="108" spans="1:3" x14ac:dyDescent="0.2">
      <c r="A108" s="1">
        <v>45764</v>
      </c>
      <c r="B108">
        <v>2</v>
      </c>
      <c r="C108">
        <f t="shared" si="1"/>
        <v>1</v>
      </c>
    </row>
    <row r="109" spans="1:3" x14ac:dyDescent="0.2">
      <c r="A109" s="1">
        <v>45765</v>
      </c>
      <c r="B109">
        <v>2</v>
      </c>
      <c r="C109">
        <f t="shared" si="1"/>
        <v>1</v>
      </c>
    </row>
    <row r="110" spans="1:3" x14ac:dyDescent="0.2">
      <c r="A110" s="1">
        <v>45766</v>
      </c>
      <c r="B110">
        <v>-2</v>
      </c>
      <c r="C110">
        <f t="shared" si="1"/>
        <v>-1</v>
      </c>
    </row>
    <row r="111" spans="1:3" x14ac:dyDescent="0.2">
      <c r="A111" s="1">
        <v>45767</v>
      </c>
      <c r="B111">
        <v>2</v>
      </c>
      <c r="C111">
        <f t="shared" si="1"/>
        <v>1</v>
      </c>
    </row>
    <row r="112" spans="1:3" x14ac:dyDescent="0.2">
      <c r="A112" s="1">
        <v>45768</v>
      </c>
      <c r="B112">
        <v>-2</v>
      </c>
      <c r="C112">
        <f t="shared" si="1"/>
        <v>-1</v>
      </c>
    </row>
    <row r="113" spans="1:3" x14ac:dyDescent="0.2">
      <c r="A113" s="1">
        <v>45769</v>
      </c>
      <c r="B113">
        <v>-2</v>
      </c>
      <c r="C113">
        <f t="shared" si="1"/>
        <v>-1</v>
      </c>
    </row>
    <row r="114" spans="1:3" x14ac:dyDescent="0.2">
      <c r="A114" s="1">
        <v>45770</v>
      </c>
      <c r="B114">
        <v>-2</v>
      </c>
      <c r="C114">
        <f t="shared" si="1"/>
        <v>-1</v>
      </c>
    </row>
    <row r="115" spans="1:3" x14ac:dyDescent="0.2">
      <c r="A115" s="1">
        <v>45771</v>
      </c>
      <c r="B115">
        <v>2</v>
      </c>
      <c r="C115">
        <f t="shared" si="1"/>
        <v>1</v>
      </c>
    </row>
    <row r="116" spans="1:3" x14ac:dyDescent="0.2">
      <c r="A116" s="1">
        <v>45772</v>
      </c>
      <c r="B116">
        <v>1.6428877377454709</v>
      </c>
      <c r="C116">
        <f t="shared" si="1"/>
        <v>0.82144386887273546</v>
      </c>
    </row>
    <row r="117" spans="1:3" x14ac:dyDescent="0.2">
      <c r="A117" s="1">
        <v>45773</v>
      </c>
      <c r="B117">
        <v>2</v>
      </c>
      <c r="C117">
        <f t="shared" si="1"/>
        <v>1</v>
      </c>
    </row>
    <row r="118" spans="1:3" x14ac:dyDescent="0.2">
      <c r="A118" s="1">
        <v>45774</v>
      </c>
      <c r="B118">
        <v>-2</v>
      </c>
      <c r="C118">
        <f t="shared" si="1"/>
        <v>-1</v>
      </c>
    </row>
    <row r="119" spans="1:3" x14ac:dyDescent="0.2">
      <c r="A119" s="1">
        <v>45775</v>
      </c>
      <c r="B119">
        <v>2</v>
      </c>
      <c r="C119">
        <f t="shared" si="1"/>
        <v>1</v>
      </c>
    </row>
    <row r="120" spans="1:3" x14ac:dyDescent="0.2">
      <c r="A120" s="1">
        <v>45776</v>
      </c>
      <c r="B120">
        <v>2</v>
      </c>
      <c r="C120">
        <f t="shared" si="1"/>
        <v>1</v>
      </c>
    </row>
    <row r="121" spans="1:3" x14ac:dyDescent="0.2">
      <c r="A121" s="1">
        <v>45777</v>
      </c>
      <c r="B121">
        <v>-2</v>
      </c>
      <c r="C121">
        <f t="shared" si="1"/>
        <v>-1</v>
      </c>
    </row>
    <row r="122" spans="1:3" x14ac:dyDescent="0.2">
      <c r="A122" s="1">
        <v>45778</v>
      </c>
      <c r="B122">
        <v>2</v>
      </c>
      <c r="C122">
        <f t="shared" si="1"/>
        <v>1</v>
      </c>
    </row>
    <row r="123" spans="1:3" x14ac:dyDescent="0.2">
      <c r="A123" s="1">
        <v>45779</v>
      </c>
      <c r="B123">
        <v>2</v>
      </c>
      <c r="C123">
        <f t="shared" si="1"/>
        <v>1</v>
      </c>
    </row>
    <row r="124" spans="1:3" x14ac:dyDescent="0.2">
      <c r="A124" s="1">
        <v>45780</v>
      </c>
      <c r="B124">
        <v>2</v>
      </c>
      <c r="C124">
        <f t="shared" si="1"/>
        <v>1</v>
      </c>
    </row>
    <row r="125" spans="1:3" x14ac:dyDescent="0.2">
      <c r="A125" s="1">
        <v>45781</v>
      </c>
      <c r="B125">
        <v>2</v>
      </c>
      <c r="C125">
        <f t="shared" si="1"/>
        <v>1</v>
      </c>
    </row>
    <row r="126" spans="1:3" x14ac:dyDescent="0.2">
      <c r="A126" s="1">
        <v>45782</v>
      </c>
      <c r="B126">
        <v>-2</v>
      </c>
      <c r="C126">
        <f t="shared" si="1"/>
        <v>-1</v>
      </c>
    </row>
    <row r="127" spans="1:3" x14ac:dyDescent="0.2">
      <c r="A127" s="1">
        <v>45783</v>
      </c>
      <c r="B127">
        <v>2</v>
      </c>
      <c r="C127">
        <f t="shared" si="1"/>
        <v>1</v>
      </c>
    </row>
    <row r="128" spans="1:3" x14ac:dyDescent="0.2">
      <c r="A128" s="1">
        <v>45784</v>
      </c>
      <c r="B128">
        <v>-2</v>
      </c>
      <c r="C128">
        <f t="shared" si="1"/>
        <v>-1</v>
      </c>
    </row>
    <row r="129" spans="1:3" x14ac:dyDescent="0.2">
      <c r="A129" s="1">
        <v>45785</v>
      </c>
      <c r="B129">
        <v>-2</v>
      </c>
      <c r="C129">
        <f t="shared" si="1"/>
        <v>-1</v>
      </c>
    </row>
    <row r="130" spans="1:3" x14ac:dyDescent="0.2">
      <c r="A130" s="1">
        <v>45786</v>
      </c>
      <c r="B130">
        <v>-2</v>
      </c>
      <c r="C130">
        <f t="shared" si="1"/>
        <v>-1</v>
      </c>
    </row>
    <row r="131" spans="1:3" x14ac:dyDescent="0.2">
      <c r="A131" s="1">
        <v>45787</v>
      </c>
      <c r="B131">
        <v>2</v>
      </c>
      <c r="C131">
        <f t="shared" ref="C131:C194" si="2">B131/2</f>
        <v>1</v>
      </c>
    </row>
    <row r="132" spans="1:3" x14ac:dyDescent="0.2">
      <c r="A132" s="1">
        <v>45788</v>
      </c>
      <c r="B132">
        <v>-2</v>
      </c>
      <c r="C132">
        <f t="shared" si="2"/>
        <v>-1</v>
      </c>
    </row>
    <row r="133" spans="1:3" x14ac:dyDescent="0.2">
      <c r="A133" s="1">
        <v>45789</v>
      </c>
      <c r="B133">
        <v>2</v>
      </c>
      <c r="C133">
        <f t="shared" si="2"/>
        <v>1</v>
      </c>
    </row>
    <row r="134" spans="1:3" x14ac:dyDescent="0.2">
      <c r="A134" s="1">
        <v>45790</v>
      </c>
      <c r="B134">
        <v>2</v>
      </c>
      <c r="C134">
        <f t="shared" si="2"/>
        <v>1</v>
      </c>
    </row>
    <row r="135" spans="1:3" x14ac:dyDescent="0.2">
      <c r="A135" s="1">
        <v>45791</v>
      </c>
      <c r="B135">
        <v>2</v>
      </c>
      <c r="C135">
        <f t="shared" si="2"/>
        <v>1</v>
      </c>
    </row>
    <row r="136" spans="1:3" x14ac:dyDescent="0.2">
      <c r="A136" s="1">
        <v>45792</v>
      </c>
      <c r="B136">
        <v>-2</v>
      </c>
      <c r="C136">
        <f t="shared" si="2"/>
        <v>-1</v>
      </c>
    </row>
    <row r="137" spans="1:3" x14ac:dyDescent="0.2">
      <c r="A137" s="1">
        <v>45793</v>
      </c>
      <c r="B137">
        <v>2</v>
      </c>
      <c r="C137">
        <f t="shared" si="2"/>
        <v>1</v>
      </c>
    </row>
    <row r="138" spans="1:3" x14ac:dyDescent="0.2">
      <c r="A138" s="1">
        <v>45794</v>
      </c>
      <c r="B138">
        <v>-2</v>
      </c>
      <c r="C138">
        <f t="shared" si="2"/>
        <v>-1</v>
      </c>
    </row>
    <row r="139" spans="1:3" x14ac:dyDescent="0.2">
      <c r="A139" s="1">
        <v>45795</v>
      </c>
      <c r="B139">
        <v>-2</v>
      </c>
      <c r="C139">
        <f t="shared" si="2"/>
        <v>-1</v>
      </c>
    </row>
    <row r="140" spans="1:3" x14ac:dyDescent="0.2">
      <c r="A140" s="1">
        <v>45796</v>
      </c>
      <c r="B140">
        <v>-6</v>
      </c>
      <c r="C140">
        <f t="shared" si="2"/>
        <v>-3</v>
      </c>
    </row>
    <row r="141" spans="1:3" x14ac:dyDescent="0.2">
      <c r="A141" s="1">
        <v>45797</v>
      </c>
      <c r="B141">
        <v>-2</v>
      </c>
      <c r="C141">
        <f t="shared" si="2"/>
        <v>-1</v>
      </c>
    </row>
    <row r="142" spans="1:3" x14ac:dyDescent="0.2">
      <c r="A142" s="1">
        <v>45798</v>
      </c>
      <c r="B142">
        <v>-2</v>
      </c>
      <c r="C142">
        <f t="shared" si="2"/>
        <v>-1</v>
      </c>
    </row>
    <row r="143" spans="1:3" x14ac:dyDescent="0.2">
      <c r="A143" s="1">
        <v>45799</v>
      </c>
      <c r="B143">
        <v>-2</v>
      </c>
      <c r="C143">
        <f t="shared" si="2"/>
        <v>-1</v>
      </c>
    </row>
    <row r="144" spans="1:3" x14ac:dyDescent="0.2">
      <c r="A144" s="1">
        <v>45800</v>
      </c>
      <c r="B144">
        <v>2</v>
      </c>
      <c r="C144">
        <f t="shared" si="2"/>
        <v>1</v>
      </c>
    </row>
    <row r="145" spans="1:3" x14ac:dyDescent="0.2">
      <c r="A145" s="1">
        <v>45801</v>
      </c>
      <c r="B145">
        <v>-2</v>
      </c>
      <c r="C145">
        <f t="shared" si="2"/>
        <v>-1</v>
      </c>
    </row>
    <row r="146" spans="1:3" x14ac:dyDescent="0.2">
      <c r="A146" s="1">
        <v>45802</v>
      </c>
      <c r="B146">
        <v>-2</v>
      </c>
      <c r="C146">
        <f t="shared" si="2"/>
        <v>-1</v>
      </c>
    </row>
    <row r="147" spans="1:3" x14ac:dyDescent="0.2">
      <c r="A147" s="1">
        <v>45803</v>
      </c>
      <c r="B147">
        <v>2</v>
      </c>
      <c r="C147">
        <f t="shared" si="2"/>
        <v>1</v>
      </c>
    </row>
    <row r="148" spans="1:3" x14ac:dyDescent="0.2">
      <c r="A148" s="1">
        <v>45804</v>
      </c>
      <c r="B148">
        <v>-2</v>
      </c>
      <c r="C148">
        <f t="shared" si="2"/>
        <v>-1</v>
      </c>
    </row>
    <row r="149" spans="1:3" x14ac:dyDescent="0.2">
      <c r="A149" s="1">
        <v>45805</v>
      </c>
      <c r="B149">
        <v>0.69746248138393852</v>
      </c>
      <c r="C149">
        <f t="shared" si="2"/>
        <v>0.34873124069196926</v>
      </c>
    </row>
    <row r="150" spans="1:3" x14ac:dyDescent="0.2">
      <c r="A150" s="1">
        <v>45806</v>
      </c>
      <c r="B150">
        <v>2</v>
      </c>
      <c r="C150">
        <f t="shared" si="2"/>
        <v>1</v>
      </c>
    </row>
    <row r="151" spans="1:3" x14ac:dyDescent="0.2">
      <c r="A151" s="1">
        <v>45807</v>
      </c>
      <c r="B151">
        <v>2</v>
      </c>
      <c r="C151">
        <f t="shared" si="2"/>
        <v>1</v>
      </c>
    </row>
    <row r="152" spans="1:3" x14ac:dyDescent="0.2">
      <c r="A152" s="1">
        <v>45808</v>
      </c>
      <c r="B152">
        <v>-2</v>
      </c>
      <c r="C152">
        <f t="shared" si="2"/>
        <v>-1</v>
      </c>
    </row>
    <row r="153" spans="1:3" x14ac:dyDescent="0.2">
      <c r="A153" s="3">
        <v>45809</v>
      </c>
      <c r="B153">
        <v>2</v>
      </c>
      <c r="C153">
        <f t="shared" si="2"/>
        <v>1</v>
      </c>
    </row>
    <row r="154" spans="1:3" x14ac:dyDescent="0.2">
      <c r="A154" s="3">
        <v>45810</v>
      </c>
      <c r="B154">
        <v>2</v>
      </c>
      <c r="C154">
        <f t="shared" si="2"/>
        <v>1</v>
      </c>
    </row>
    <row r="155" spans="1:3" x14ac:dyDescent="0.2">
      <c r="A155" s="3">
        <v>45811</v>
      </c>
      <c r="B155">
        <v>-2.0000000000000004</v>
      </c>
      <c r="C155">
        <f t="shared" si="2"/>
        <v>-1.0000000000000002</v>
      </c>
    </row>
    <row r="156" spans="1:3" x14ac:dyDescent="0.2">
      <c r="A156" s="3">
        <v>45812</v>
      </c>
      <c r="B156">
        <v>2</v>
      </c>
      <c r="C156">
        <f t="shared" si="2"/>
        <v>1</v>
      </c>
    </row>
    <row r="157" spans="1:3" x14ac:dyDescent="0.2">
      <c r="A157" s="3">
        <v>45813</v>
      </c>
      <c r="B157">
        <v>2</v>
      </c>
      <c r="C157">
        <f t="shared" si="2"/>
        <v>1</v>
      </c>
    </row>
    <row r="158" spans="1:3" x14ac:dyDescent="0.2">
      <c r="A158" s="3">
        <v>45814</v>
      </c>
      <c r="B158">
        <v>-2</v>
      </c>
      <c r="C158">
        <f t="shared" si="2"/>
        <v>-1</v>
      </c>
    </row>
    <row r="159" spans="1:3" x14ac:dyDescent="0.2">
      <c r="A159" s="3">
        <v>45815</v>
      </c>
      <c r="B159">
        <v>2</v>
      </c>
      <c r="C159">
        <f t="shared" si="2"/>
        <v>1</v>
      </c>
    </row>
    <row r="160" spans="1:3" x14ac:dyDescent="0.2">
      <c r="A160" s="3">
        <v>45816</v>
      </c>
      <c r="B160">
        <v>2</v>
      </c>
      <c r="C160">
        <f t="shared" si="2"/>
        <v>1</v>
      </c>
    </row>
    <row r="161" spans="1:3" x14ac:dyDescent="0.2">
      <c r="A161" s="3">
        <v>45817</v>
      </c>
      <c r="B161">
        <v>2</v>
      </c>
      <c r="C161">
        <f t="shared" si="2"/>
        <v>1</v>
      </c>
    </row>
    <row r="162" spans="1:3" x14ac:dyDescent="0.2">
      <c r="A162" s="3">
        <v>45818</v>
      </c>
      <c r="B162">
        <v>-2</v>
      </c>
      <c r="C162">
        <f t="shared" si="2"/>
        <v>-1</v>
      </c>
    </row>
    <row r="163" spans="1:3" x14ac:dyDescent="0.2">
      <c r="A163" s="3">
        <v>45819</v>
      </c>
      <c r="B163">
        <v>2</v>
      </c>
      <c r="C163">
        <f t="shared" si="2"/>
        <v>1</v>
      </c>
    </row>
    <row r="164" spans="1:3" x14ac:dyDescent="0.2">
      <c r="A164" s="3">
        <v>45820</v>
      </c>
      <c r="B164">
        <v>2</v>
      </c>
      <c r="C164">
        <f t="shared" si="2"/>
        <v>1</v>
      </c>
    </row>
    <row r="165" spans="1:3" x14ac:dyDescent="0.2">
      <c r="A165" s="3">
        <v>45821</v>
      </c>
      <c r="B165">
        <v>-2</v>
      </c>
      <c r="C165">
        <f t="shared" si="2"/>
        <v>-1</v>
      </c>
    </row>
    <row r="166" spans="1:3" x14ac:dyDescent="0.2">
      <c r="A166" s="3">
        <v>45822</v>
      </c>
      <c r="B166">
        <v>2</v>
      </c>
      <c r="C166">
        <f t="shared" si="2"/>
        <v>1</v>
      </c>
    </row>
    <row r="167" spans="1:3" x14ac:dyDescent="0.2">
      <c r="A167" s="3">
        <v>45823</v>
      </c>
      <c r="B167">
        <v>-2</v>
      </c>
      <c r="C167">
        <f t="shared" si="2"/>
        <v>-1</v>
      </c>
    </row>
    <row r="168" spans="1:3" x14ac:dyDescent="0.2">
      <c r="A168" s="3">
        <v>45824</v>
      </c>
      <c r="B168">
        <v>-0.484403940857143</v>
      </c>
      <c r="C168">
        <f t="shared" si="2"/>
        <v>-0.2422019704285715</v>
      </c>
    </row>
    <row r="169" spans="1:3" x14ac:dyDescent="0.2">
      <c r="A169" s="3">
        <v>45825</v>
      </c>
      <c r="B169">
        <v>-2</v>
      </c>
      <c r="C169">
        <f t="shared" si="2"/>
        <v>-1</v>
      </c>
    </row>
    <row r="170" spans="1:3" x14ac:dyDescent="0.2">
      <c r="A170" s="3">
        <v>45826</v>
      </c>
      <c r="B170">
        <v>2</v>
      </c>
      <c r="C170">
        <f t="shared" si="2"/>
        <v>1</v>
      </c>
    </row>
    <row r="171" spans="1:3" x14ac:dyDescent="0.2">
      <c r="A171" s="3">
        <v>45827</v>
      </c>
      <c r="B171">
        <v>2</v>
      </c>
      <c r="C171">
        <f t="shared" si="2"/>
        <v>1</v>
      </c>
    </row>
    <row r="172" spans="1:3" x14ac:dyDescent="0.2">
      <c r="A172" s="3">
        <v>45828</v>
      </c>
      <c r="B172">
        <v>-2</v>
      </c>
      <c r="C172">
        <f t="shared" si="2"/>
        <v>-1</v>
      </c>
    </row>
    <row r="173" spans="1:3" x14ac:dyDescent="0.2">
      <c r="A173" s="3">
        <v>45829</v>
      </c>
      <c r="B173">
        <v>2</v>
      </c>
      <c r="C173">
        <f t="shared" si="2"/>
        <v>1</v>
      </c>
    </row>
    <row r="174" spans="1:3" x14ac:dyDescent="0.2">
      <c r="A174" s="3">
        <v>45830</v>
      </c>
      <c r="B174">
        <v>-6</v>
      </c>
      <c r="C174">
        <f t="shared" si="2"/>
        <v>-3</v>
      </c>
    </row>
    <row r="175" spans="1:3" x14ac:dyDescent="0.2">
      <c r="A175" s="3">
        <v>45831</v>
      </c>
      <c r="B175">
        <v>-2</v>
      </c>
      <c r="C175">
        <f t="shared" si="2"/>
        <v>-1</v>
      </c>
    </row>
    <row r="176" spans="1:3" x14ac:dyDescent="0.2">
      <c r="A176" s="3">
        <v>45832</v>
      </c>
      <c r="B176">
        <v>-2</v>
      </c>
      <c r="C176">
        <f t="shared" si="2"/>
        <v>-1</v>
      </c>
    </row>
    <row r="177" spans="1:3" x14ac:dyDescent="0.2">
      <c r="A177" s="3">
        <v>45833</v>
      </c>
      <c r="B177">
        <v>2</v>
      </c>
      <c r="C177">
        <f t="shared" si="2"/>
        <v>1</v>
      </c>
    </row>
    <row r="178" spans="1:3" x14ac:dyDescent="0.2">
      <c r="A178" s="3">
        <v>45834</v>
      </c>
      <c r="B178">
        <v>2</v>
      </c>
      <c r="C178">
        <f t="shared" si="2"/>
        <v>1</v>
      </c>
    </row>
    <row r="179" spans="1:3" x14ac:dyDescent="0.2">
      <c r="A179" s="3">
        <v>45835</v>
      </c>
      <c r="B179">
        <v>2</v>
      </c>
      <c r="C179">
        <f t="shared" si="2"/>
        <v>1</v>
      </c>
    </row>
    <row r="180" spans="1:3" x14ac:dyDescent="0.2">
      <c r="A180" s="3">
        <v>45836</v>
      </c>
      <c r="B180">
        <v>0.65322832411522636</v>
      </c>
      <c r="C180">
        <f t="shared" si="2"/>
        <v>0.32661416205761318</v>
      </c>
    </row>
    <row r="181" spans="1:3" x14ac:dyDescent="0.2">
      <c r="A181" s="3">
        <v>45837</v>
      </c>
      <c r="B181">
        <v>2</v>
      </c>
      <c r="C181">
        <f t="shared" si="2"/>
        <v>1</v>
      </c>
    </row>
    <row r="182" spans="1:3" x14ac:dyDescent="0.2">
      <c r="A182" s="3">
        <v>45838</v>
      </c>
      <c r="B182">
        <v>2</v>
      </c>
      <c r="C182">
        <f t="shared" si="2"/>
        <v>1</v>
      </c>
    </row>
    <row r="183" spans="1:3" x14ac:dyDescent="0.2">
      <c r="A183" s="3">
        <v>45839</v>
      </c>
      <c r="B183">
        <v>1.8408387697297297</v>
      </c>
      <c r="C183">
        <f t="shared" si="2"/>
        <v>0.92041938486486485</v>
      </c>
    </row>
    <row r="184" spans="1:3" x14ac:dyDescent="0.2">
      <c r="A184" s="3">
        <v>45840</v>
      </c>
      <c r="B184">
        <v>-2</v>
      </c>
      <c r="C184">
        <f t="shared" si="2"/>
        <v>-1</v>
      </c>
    </row>
    <row r="185" spans="1:3" x14ac:dyDescent="0.2">
      <c r="A185" s="3">
        <v>45841</v>
      </c>
      <c r="B185">
        <v>2</v>
      </c>
      <c r="C185">
        <f t="shared" si="2"/>
        <v>1</v>
      </c>
    </row>
    <row r="186" spans="1:3" x14ac:dyDescent="0.2">
      <c r="A186" s="3">
        <v>45842</v>
      </c>
      <c r="B186">
        <v>2</v>
      </c>
      <c r="C186">
        <f t="shared" si="2"/>
        <v>1</v>
      </c>
    </row>
    <row r="187" spans="1:3" x14ac:dyDescent="0.2">
      <c r="A187" s="3">
        <v>45843</v>
      </c>
      <c r="B187">
        <v>2</v>
      </c>
      <c r="C187">
        <f t="shared" si="2"/>
        <v>1</v>
      </c>
    </row>
    <row r="188" spans="1:3" x14ac:dyDescent="0.2">
      <c r="A188" s="3">
        <v>45844</v>
      </c>
      <c r="B188">
        <v>2</v>
      </c>
      <c r="C188">
        <f t="shared" si="2"/>
        <v>1</v>
      </c>
    </row>
    <row r="189" spans="1:3" x14ac:dyDescent="0.2">
      <c r="A189" s="3">
        <v>45845</v>
      </c>
      <c r="B189">
        <v>-2</v>
      </c>
      <c r="C189">
        <f t="shared" si="2"/>
        <v>-1</v>
      </c>
    </row>
    <row r="190" spans="1:3" x14ac:dyDescent="0.2">
      <c r="A190" s="3">
        <v>45846</v>
      </c>
      <c r="B190">
        <v>2</v>
      </c>
      <c r="C190">
        <f t="shared" si="2"/>
        <v>1</v>
      </c>
    </row>
    <row r="191" spans="1:3" x14ac:dyDescent="0.2">
      <c r="A191" s="3">
        <v>45847</v>
      </c>
      <c r="B191">
        <v>2</v>
      </c>
      <c r="C191">
        <f t="shared" si="2"/>
        <v>1</v>
      </c>
    </row>
    <row r="192" spans="1:3" x14ac:dyDescent="0.2">
      <c r="A192" s="3">
        <v>45848</v>
      </c>
      <c r="B192">
        <v>-2</v>
      </c>
      <c r="C192">
        <f t="shared" si="2"/>
        <v>-1</v>
      </c>
    </row>
    <row r="193" spans="1:3" x14ac:dyDescent="0.2">
      <c r="A193" s="3">
        <v>45849</v>
      </c>
      <c r="B193">
        <v>-2</v>
      </c>
      <c r="C193">
        <f t="shared" si="2"/>
        <v>-1</v>
      </c>
    </row>
    <row r="194" spans="1:3" x14ac:dyDescent="0.2">
      <c r="A194" s="3">
        <v>45850</v>
      </c>
      <c r="B194">
        <v>2</v>
      </c>
      <c r="C194">
        <f t="shared" si="2"/>
        <v>1</v>
      </c>
    </row>
    <row r="195" spans="1:3" x14ac:dyDescent="0.2">
      <c r="A195" s="3">
        <v>45851</v>
      </c>
      <c r="B195">
        <v>2</v>
      </c>
      <c r="C195">
        <f t="shared" ref="C195:C258" si="3">B195/2</f>
        <v>1</v>
      </c>
    </row>
    <row r="196" spans="1:3" x14ac:dyDescent="0.2">
      <c r="A196" s="3">
        <v>45852</v>
      </c>
      <c r="B196">
        <v>-2</v>
      </c>
      <c r="C196">
        <f t="shared" si="3"/>
        <v>-1</v>
      </c>
    </row>
    <row r="197" spans="1:3" x14ac:dyDescent="0.2">
      <c r="A197" s="3">
        <v>45853</v>
      </c>
      <c r="B197">
        <v>-2</v>
      </c>
      <c r="C197">
        <f t="shared" si="3"/>
        <v>-1</v>
      </c>
    </row>
    <row r="198" spans="1:3" x14ac:dyDescent="0.2">
      <c r="A198" s="3">
        <v>45854</v>
      </c>
      <c r="B198">
        <v>2</v>
      </c>
      <c r="C198">
        <f t="shared" si="3"/>
        <v>1</v>
      </c>
    </row>
    <row r="199" spans="1:3" x14ac:dyDescent="0.2">
      <c r="A199" s="3">
        <v>45855</v>
      </c>
      <c r="B199">
        <v>-2</v>
      </c>
      <c r="C199">
        <f t="shared" si="3"/>
        <v>-1</v>
      </c>
    </row>
    <row r="200" spans="1:3" x14ac:dyDescent="0.2">
      <c r="A200" s="3">
        <v>45856</v>
      </c>
      <c r="B200">
        <v>2</v>
      </c>
      <c r="C200">
        <f t="shared" si="3"/>
        <v>1</v>
      </c>
    </row>
    <row r="201" spans="1:3" x14ac:dyDescent="0.2">
      <c r="A201" s="3">
        <v>45857</v>
      </c>
      <c r="B201">
        <v>2</v>
      </c>
      <c r="C201">
        <f t="shared" si="3"/>
        <v>1</v>
      </c>
    </row>
    <row r="202" spans="1:3" x14ac:dyDescent="0.2">
      <c r="A202" s="3">
        <v>45858</v>
      </c>
      <c r="B202">
        <v>2</v>
      </c>
      <c r="C202">
        <f t="shared" si="3"/>
        <v>1</v>
      </c>
    </row>
    <row r="203" spans="1:3" x14ac:dyDescent="0.2">
      <c r="A203" s="3">
        <v>45859</v>
      </c>
      <c r="B203">
        <v>2</v>
      </c>
      <c r="C203">
        <f t="shared" si="3"/>
        <v>1</v>
      </c>
    </row>
    <row r="204" spans="1:3" x14ac:dyDescent="0.2">
      <c r="A204" s="3">
        <v>45860</v>
      </c>
      <c r="B204">
        <v>2</v>
      </c>
      <c r="C204">
        <f t="shared" si="3"/>
        <v>1</v>
      </c>
    </row>
    <row r="205" spans="1:3" x14ac:dyDescent="0.2">
      <c r="A205" s="3">
        <v>45861</v>
      </c>
      <c r="B205">
        <v>2</v>
      </c>
      <c r="C205">
        <f t="shared" si="3"/>
        <v>1</v>
      </c>
    </row>
    <row r="206" spans="1:3" x14ac:dyDescent="0.2">
      <c r="A206" s="3">
        <v>45862</v>
      </c>
      <c r="B206">
        <v>2</v>
      </c>
      <c r="C206">
        <f t="shared" si="3"/>
        <v>1</v>
      </c>
    </row>
    <row r="207" spans="1:3" x14ac:dyDescent="0.2">
      <c r="A207" s="3">
        <v>45863</v>
      </c>
      <c r="B207">
        <v>-2</v>
      </c>
      <c r="C207">
        <f t="shared" si="3"/>
        <v>-1</v>
      </c>
    </row>
    <row r="208" spans="1:3" x14ac:dyDescent="0.2">
      <c r="A208" s="3">
        <v>45864</v>
      </c>
      <c r="B208">
        <v>-2</v>
      </c>
      <c r="C208">
        <f t="shared" si="3"/>
        <v>-1</v>
      </c>
    </row>
    <row r="209" spans="1:3" x14ac:dyDescent="0.2">
      <c r="A209" s="3">
        <v>45865</v>
      </c>
      <c r="B209">
        <v>2</v>
      </c>
      <c r="C209">
        <f t="shared" si="3"/>
        <v>1</v>
      </c>
    </row>
    <row r="210" spans="1:3" x14ac:dyDescent="0.2">
      <c r="A210" s="3">
        <v>45866</v>
      </c>
      <c r="B210">
        <v>2</v>
      </c>
      <c r="C210">
        <f t="shared" si="3"/>
        <v>1</v>
      </c>
    </row>
    <row r="211" spans="1:3" x14ac:dyDescent="0.2">
      <c r="A211" s="3">
        <v>45867</v>
      </c>
      <c r="B211">
        <v>2</v>
      </c>
      <c r="C211">
        <f t="shared" si="3"/>
        <v>1</v>
      </c>
    </row>
    <row r="212" spans="1:3" x14ac:dyDescent="0.2">
      <c r="A212" s="3">
        <v>45868</v>
      </c>
      <c r="B212">
        <v>2</v>
      </c>
      <c r="C212">
        <f t="shared" si="3"/>
        <v>1</v>
      </c>
    </row>
    <row r="213" spans="1:3" x14ac:dyDescent="0.2">
      <c r="A213" s="3">
        <v>45869</v>
      </c>
      <c r="B213">
        <v>2</v>
      </c>
      <c r="C213">
        <f t="shared" si="3"/>
        <v>1</v>
      </c>
    </row>
    <row r="214" spans="1:3" x14ac:dyDescent="0.2">
      <c r="A214" s="3">
        <v>45870</v>
      </c>
      <c r="B214">
        <v>-2</v>
      </c>
      <c r="C214">
        <f t="shared" si="3"/>
        <v>-1</v>
      </c>
    </row>
    <row r="215" spans="1:3" x14ac:dyDescent="0.2">
      <c r="A215" s="3">
        <v>45871</v>
      </c>
      <c r="B215">
        <v>2</v>
      </c>
      <c r="C215">
        <f t="shared" si="3"/>
        <v>1</v>
      </c>
    </row>
    <row r="216" spans="1:3" x14ac:dyDescent="0.2">
      <c r="A216" s="3">
        <v>45872</v>
      </c>
      <c r="B216">
        <v>-2</v>
      </c>
      <c r="C216">
        <f t="shared" si="3"/>
        <v>-1</v>
      </c>
    </row>
    <row r="217" spans="1:3" x14ac:dyDescent="0.2">
      <c r="A217" s="3">
        <v>45873</v>
      </c>
      <c r="B217">
        <v>2</v>
      </c>
      <c r="C217">
        <f t="shared" si="3"/>
        <v>1</v>
      </c>
    </row>
    <row r="218" spans="1:3" x14ac:dyDescent="0.2">
      <c r="A218" s="3">
        <v>45874</v>
      </c>
      <c r="B218">
        <v>2</v>
      </c>
      <c r="C218">
        <f t="shared" si="3"/>
        <v>1</v>
      </c>
    </row>
    <row r="219" spans="1:3" x14ac:dyDescent="0.2">
      <c r="A219" s="3">
        <v>45875</v>
      </c>
      <c r="B219">
        <v>2</v>
      </c>
      <c r="C219">
        <f t="shared" si="3"/>
        <v>1</v>
      </c>
    </row>
    <row r="220" spans="1:3" x14ac:dyDescent="0.2">
      <c r="A220" s="3">
        <v>45876</v>
      </c>
      <c r="B220">
        <v>-0.82539463599999996</v>
      </c>
      <c r="C220">
        <f t="shared" si="3"/>
        <v>-0.41269731799999998</v>
      </c>
    </row>
    <row r="221" spans="1:3" x14ac:dyDescent="0.2">
      <c r="A221" s="3">
        <v>45877</v>
      </c>
      <c r="B221">
        <v>2</v>
      </c>
      <c r="C221">
        <f t="shared" si="3"/>
        <v>1</v>
      </c>
    </row>
    <row r="222" spans="1:3" x14ac:dyDescent="0.2">
      <c r="A222" s="3">
        <v>45878</v>
      </c>
      <c r="B222">
        <v>2</v>
      </c>
      <c r="C222">
        <f t="shared" si="3"/>
        <v>1</v>
      </c>
    </row>
    <row r="223" spans="1:3" x14ac:dyDescent="0.2">
      <c r="A223" s="3">
        <v>45879</v>
      </c>
      <c r="B223">
        <v>-2</v>
      </c>
      <c r="C223">
        <f t="shared" si="3"/>
        <v>-1</v>
      </c>
    </row>
    <row r="224" spans="1:3" x14ac:dyDescent="0.2">
      <c r="A224" s="3">
        <v>45880</v>
      </c>
      <c r="B224">
        <v>-2</v>
      </c>
      <c r="C224">
        <f t="shared" si="3"/>
        <v>-1</v>
      </c>
    </row>
    <row r="225" spans="1:3" x14ac:dyDescent="0.2">
      <c r="A225" s="3">
        <v>45881</v>
      </c>
      <c r="B225">
        <v>-2</v>
      </c>
      <c r="C225">
        <f t="shared" si="3"/>
        <v>-1</v>
      </c>
    </row>
    <row r="226" spans="1:3" x14ac:dyDescent="0.2">
      <c r="A226" s="3">
        <v>45882</v>
      </c>
      <c r="B226">
        <v>2</v>
      </c>
      <c r="C226">
        <f t="shared" si="3"/>
        <v>1</v>
      </c>
    </row>
    <row r="227" spans="1:3" x14ac:dyDescent="0.2">
      <c r="A227" s="3">
        <v>45883</v>
      </c>
      <c r="B227">
        <v>-2</v>
      </c>
      <c r="C227">
        <f t="shared" si="3"/>
        <v>-1</v>
      </c>
    </row>
    <row r="228" spans="1:3" x14ac:dyDescent="0.2">
      <c r="A228" s="3">
        <v>45884</v>
      </c>
      <c r="B228">
        <v>2</v>
      </c>
      <c r="C228">
        <f t="shared" si="3"/>
        <v>1</v>
      </c>
    </row>
    <row r="229" spans="1:3" x14ac:dyDescent="0.2">
      <c r="A229" s="3">
        <v>45885</v>
      </c>
      <c r="B229">
        <v>2</v>
      </c>
      <c r="C229">
        <f t="shared" si="3"/>
        <v>1</v>
      </c>
    </row>
    <row r="230" spans="1:3" x14ac:dyDescent="0.2">
      <c r="A230" s="3">
        <v>45886</v>
      </c>
      <c r="B230">
        <v>2</v>
      </c>
      <c r="C230">
        <f t="shared" si="3"/>
        <v>1</v>
      </c>
    </row>
    <row r="231" spans="1:3" x14ac:dyDescent="0.2">
      <c r="A231" s="3">
        <v>45887</v>
      </c>
      <c r="B231">
        <v>-2</v>
      </c>
      <c r="C231">
        <f t="shared" si="3"/>
        <v>-1</v>
      </c>
    </row>
    <row r="232" spans="1:3" x14ac:dyDescent="0.2">
      <c r="A232" s="3">
        <v>45888</v>
      </c>
      <c r="B232">
        <v>-2</v>
      </c>
      <c r="C232">
        <f t="shared" si="3"/>
        <v>-1</v>
      </c>
    </row>
    <row r="233" spans="1:3" x14ac:dyDescent="0.2">
      <c r="A233" s="3">
        <v>45889</v>
      </c>
      <c r="B233">
        <v>2</v>
      </c>
      <c r="C233">
        <f t="shared" si="3"/>
        <v>1</v>
      </c>
    </row>
    <row r="234" spans="1:3" x14ac:dyDescent="0.2">
      <c r="A234" s="3">
        <v>45890</v>
      </c>
      <c r="B234">
        <v>2</v>
      </c>
      <c r="C234">
        <f t="shared" si="3"/>
        <v>1</v>
      </c>
    </row>
    <row r="235" spans="1:3" x14ac:dyDescent="0.2">
      <c r="A235" s="3">
        <v>45891</v>
      </c>
      <c r="B235">
        <v>2</v>
      </c>
      <c r="C235">
        <f t="shared" si="3"/>
        <v>1</v>
      </c>
    </row>
    <row r="236" spans="1:3" x14ac:dyDescent="0.2">
      <c r="A236" s="3">
        <v>45892</v>
      </c>
      <c r="B236">
        <v>2</v>
      </c>
      <c r="C236">
        <f t="shared" si="3"/>
        <v>1</v>
      </c>
    </row>
    <row r="237" spans="1:3" x14ac:dyDescent="0.2">
      <c r="A237" s="3">
        <v>45893</v>
      </c>
      <c r="B237">
        <v>1.4680085622326553</v>
      </c>
      <c r="C237">
        <f t="shared" si="3"/>
        <v>0.73400428111632765</v>
      </c>
    </row>
    <row r="238" spans="1:3" x14ac:dyDescent="0.2">
      <c r="A238" s="3">
        <v>45894</v>
      </c>
      <c r="B238">
        <v>-2</v>
      </c>
      <c r="C238">
        <f t="shared" si="3"/>
        <v>-1</v>
      </c>
    </row>
    <row r="239" spans="1:3" x14ac:dyDescent="0.2">
      <c r="A239" s="3">
        <v>45895</v>
      </c>
      <c r="B239">
        <v>-2</v>
      </c>
      <c r="C239">
        <f t="shared" si="3"/>
        <v>-1</v>
      </c>
    </row>
    <row r="240" spans="1:3" x14ac:dyDescent="0.2">
      <c r="A240" s="3">
        <v>45896</v>
      </c>
      <c r="B240">
        <v>-2</v>
      </c>
      <c r="C240">
        <f t="shared" si="3"/>
        <v>-1</v>
      </c>
    </row>
    <row r="241" spans="1:3" x14ac:dyDescent="0.2">
      <c r="A241" s="3">
        <v>45897</v>
      </c>
      <c r="B241">
        <v>2</v>
      </c>
      <c r="C241">
        <f t="shared" si="3"/>
        <v>1</v>
      </c>
    </row>
    <row r="242" spans="1:3" x14ac:dyDescent="0.2">
      <c r="A242" s="3">
        <v>45898</v>
      </c>
      <c r="B242">
        <v>-2</v>
      </c>
      <c r="C242">
        <f t="shared" si="3"/>
        <v>-1</v>
      </c>
    </row>
    <row r="243" spans="1:3" x14ac:dyDescent="0.2">
      <c r="A243" s="3">
        <v>45899</v>
      </c>
      <c r="B243">
        <v>2</v>
      </c>
      <c r="C243">
        <f t="shared" si="3"/>
        <v>1</v>
      </c>
    </row>
    <row r="244" spans="1:3" x14ac:dyDescent="0.2">
      <c r="A244" s="3">
        <v>45900</v>
      </c>
      <c r="B244">
        <v>0.97474595124658281</v>
      </c>
      <c r="C244">
        <f t="shared" si="3"/>
        <v>0.4873729756232914</v>
      </c>
    </row>
    <row r="245" spans="1:3" x14ac:dyDescent="0.2">
      <c r="A245" s="3">
        <v>45901</v>
      </c>
      <c r="B245">
        <v>-2</v>
      </c>
      <c r="C245">
        <f t="shared" si="3"/>
        <v>-1</v>
      </c>
    </row>
    <row r="246" spans="1:3" x14ac:dyDescent="0.2">
      <c r="A246" s="3">
        <v>45902</v>
      </c>
      <c r="B246">
        <v>-6</v>
      </c>
      <c r="C246">
        <f t="shared" si="3"/>
        <v>-3</v>
      </c>
    </row>
    <row r="247" spans="1:3" x14ac:dyDescent="0.2">
      <c r="A247" s="3">
        <v>45903</v>
      </c>
      <c r="B247">
        <v>2</v>
      </c>
      <c r="C247">
        <f t="shared" si="3"/>
        <v>1</v>
      </c>
    </row>
    <row r="248" spans="1:3" x14ac:dyDescent="0.2">
      <c r="A248" s="3">
        <v>45904</v>
      </c>
      <c r="B248">
        <v>2</v>
      </c>
      <c r="C248">
        <f t="shared" si="3"/>
        <v>1</v>
      </c>
    </row>
    <row r="249" spans="1:3" x14ac:dyDescent="0.2">
      <c r="A249" s="3">
        <v>45905</v>
      </c>
      <c r="B249">
        <v>-2</v>
      </c>
      <c r="C249">
        <f t="shared" si="3"/>
        <v>-1</v>
      </c>
    </row>
    <row r="250" spans="1:3" x14ac:dyDescent="0.2">
      <c r="A250" s="3">
        <v>45906</v>
      </c>
      <c r="B250">
        <v>2</v>
      </c>
      <c r="C250">
        <f t="shared" si="3"/>
        <v>1</v>
      </c>
    </row>
    <row r="251" spans="1:3" x14ac:dyDescent="0.2">
      <c r="A251" s="3">
        <v>45907</v>
      </c>
      <c r="B251">
        <v>-0.69677484764705877</v>
      </c>
      <c r="C251">
        <f t="shared" si="3"/>
        <v>-0.34838742382352939</v>
      </c>
    </row>
    <row r="252" spans="1:3" x14ac:dyDescent="0.2">
      <c r="A252" s="3">
        <v>45908</v>
      </c>
      <c r="B252">
        <v>2</v>
      </c>
      <c r="C252">
        <f t="shared" si="3"/>
        <v>1</v>
      </c>
    </row>
    <row r="253" spans="1:3" x14ac:dyDescent="0.2">
      <c r="A253" s="3">
        <v>45909</v>
      </c>
      <c r="B253">
        <v>-2</v>
      </c>
      <c r="C253">
        <f t="shared" si="3"/>
        <v>-1</v>
      </c>
    </row>
    <row r="254" spans="1:3" x14ac:dyDescent="0.2">
      <c r="A254" s="3">
        <v>45910</v>
      </c>
      <c r="B254">
        <v>-2</v>
      </c>
      <c r="C254">
        <f t="shared" si="3"/>
        <v>-1</v>
      </c>
    </row>
    <row r="255" spans="1:3" x14ac:dyDescent="0.2">
      <c r="A255" s="3">
        <v>45911</v>
      </c>
      <c r="B255">
        <v>2</v>
      </c>
      <c r="C255">
        <f t="shared" si="3"/>
        <v>1</v>
      </c>
    </row>
    <row r="256" spans="1:3" x14ac:dyDescent="0.2">
      <c r="A256" s="3">
        <v>45912</v>
      </c>
      <c r="B256">
        <v>-2</v>
      </c>
      <c r="C256">
        <f t="shared" si="3"/>
        <v>-1</v>
      </c>
    </row>
    <row r="257" spans="1:3" x14ac:dyDescent="0.2">
      <c r="A257" s="3">
        <v>45913</v>
      </c>
      <c r="B257">
        <v>2</v>
      </c>
      <c r="C257">
        <f t="shared" si="3"/>
        <v>1</v>
      </c>
    </row>
    <row r="258" spans="1:3" x14ac:dyDescent="0.2">
      <c r="A258" s="3">
        <v>45914</v>
      </c>
      <c r="B258">
        <v>2</v>
      </c>
      <c r="C258">
        <f t="shared" si="3"/>
        <v>1</v>
      </c>
    </row>
    <row r="259" spans="1:3" x14ac:dyDescent="0.2">
      <c r="A259" s="3">
        <v>45915</v>
      </c>
      <c r="B259">
        <v>1.1782227468215158</v>
      </c>
      <c r="C259">
        <f t="shared" ref="C259:C322" si="4">B259/2</f>
        <v>0.58911137341075792</v>
      </c>
    </row>
    <row r="260" spans="1:3" x14ac:dyDescent="0.2">
      <c r="A260" s="3">
        <v>45916</v>
      </c>
      <c r="B260">
        <v>2</v>
      </c>
      <c r="C260">
        <f t="shared" si="4"/>
        <v>1</v>
      </c>
    </row>
    <row r="261" spans="1:3" x14ac:dyDescent="0.2">
      <c r="A261" s="3">
        <v>45917</v>
      </c>
      <c r="B261">
        <v>2</v>
      </c>
      <c r="C261">
        <f t="shared" si="4"/>
        <v>1</v>
      </c>
    </row>
    <row r="262" spans="1:3" x14ac:dyDescent="0.2">
      <c r="A262" s="3">
        <v>45918</v>
      </c>
      <c r="B262">
        <v>2</v>
      </c>
      <c r="C262">
        <f t="shared" si="4"/>
        <v>1</v>
      </c>
    </row>
    <row r="263" spans="1:3" x14ac:dyDescent="0.2">
      <c r="A263" s="3">
        <v>45919</v>
      </c>
      <c r="B263">
        <v>-2</v>
      </c>
      <c r="C263">
        <f t="shared" si="4"/>
        <v>-1</v>
      </c>
    </row>
    <row r="264" spans="1:3" x14ac:dyDescent="0.2">
      <c r="A264" s="3">
        <v>45920</v>
      </c>
      <c r="B264">
        <v>2</v>
      </c>
      <c r="C264">
        <f t="shared" si="4"/>
        <v>1</v>
      </c>
    </row>
    <row r="265" spans="1:3" x14ac:dyDescent="0.2">
      <c r="A265" s="3">
        <v>45921</v>
      </c>
      <c r="B265">
        <v>2</v>
      </c>
      <c r="C265">
        <f t="shared" si="4"/>
        <v>1</v>
      </c>
    </row>
    <row r="266" spans="1:3" x14ac:dyDescent="0.2">
      <c r="A266" s="3">
        <v>45922</v>
      </c>
      <c r="B266">
        <v>-2</v>
      </c>
      <c r="C266">
        <f t="shared" si="4"/>
        <v>-1</v>
      </c>
    </row>
    <row r="267" spans="1:3" x14ac:dyDescent="0.2">
      <c r="A267" s="3">
        <v>45923</v>
      </c>
      <c r="B267">
        <v>2</v>
      </c>
      <c r="C267">
        <f t="shared" si="4"/>
        <v>1</v>
      </c>
    </row>
    <row r="268" spans="1:3" x14ac:dyDescent="0.2">
      <c r="A268" s="3">
        <v>45924</v>
      </c>
      <c r="B268">
        <v>2</v>
      </c>
      <c r="C268">
        <f t="shared" si="4"/>
        <v>1</v>
      </c>
    </row>
    <row r="269" spans="1:3" x14ac:dyDescent="0.2">
      <c r="A269" s="3">
        <v>45925</v>
      </c>
      <c r="B269">
        <v>-2</v>
      </c>
      <c r="C269">
        <f t="shared" si="4"/>
        <v>-1</v>
      </c>
    </row>
    <row r="270" spans="1:3" x14ac:dyDescent="0.2">
      <c r="A270" s="3">
        <v>45926</v>
      </c>
      <c r="B270">
        <v>2</v>
      </c>
      <c r="C270">
        <f t="shared" si="4"/>
        <v>1</v>
      </c>
    </row>
    <row r="271" spans="1:3" x14ac:dyDescent="0.2">
      <c r="A271" s="3">
        <v>45927</v>
      </c>
      <c r="B271">
        <v>2</v>
      </c>
      <c r="C271">
        <f t="shared" si="4"/>
        <v>1</v>
      </c>
    </row>
    <row r="272" spans="1:3" x14ac:dyDescent="0.2">
      <c r="A272" s="3">
        <v>45928</v>
      </c>
      <c r="B272">
        <v>2</v>
      </c>
      <c r="C272">
        <f t="shared" si="4"/>
        <v>1</v>
      </c>
    </row>
    <row r="273" spans="1:3" x14ac:dyDescent="0.2">
      <c r="A273" s="3">
        <v>45929</v>
      </c>
      <c r="B273">
        <v>-2</v>
      </c>
      <c r="C273">
        <f t="shared" si="4"/>
        <v>-1</v>
      </c>
    </row>
    <row r="274" spans="1:3" x14ac:dyDescent="0.2">
      <c r="A274" s="3">
        <v>45930</v>
      </c>
      <c r="B274">
        <v>2</v>
      </c>
      <c r="C274">
        <f t="shared" si="4"/>
        <v>1</v>
      </c>
    </row>
    <row r="275" spans="1:3" x14ac:dyDescent="0.2">
      <c r="A275" s="3">
        <v>45931</v>
      </c>
      <c r="B275">
        <v>-2</v>
      </c>
      <c r="C275">
        <f t="shared" si="4"/>
        <v>-1</v>
      </c>
    </row>
    <row r="276" spans="1:3" x14ac:dyDescent="0.2">
      <c r="A276" s="3">
        <v>45932</v>
      </c>
      <c r="B276">
        <v>-2</v>
      </c>
      <c r="C276">
        <f t="shared" si="4"/>
        <v>-1</v>
      </c>
    </row>
    <row r="277" spans="1:3" x14ac:dyDescent="0.2">
      <c r="A277" s="3">
        <v>45933</v>
      </c>
      <c r="B277">
        <v>2</v>
      </c>
      <c r="C277">
        <f t="shared" si="4"/>
        <v>1</v>
      </c>
    </row>
    <row r="278" spans="1:3" x14ac:dyDescent="0.2">
      <c r="A278" s="3">
        <v>45934</v>
      </c>
      <c r="B278">
        <v>2</v>
      </c>
      <c r="C278">
        <f t="shared" si="4"/>
        <v>1</v>
      </c>
    </row>
    <row r="279" spans="1:3" x14ac:dyDescent="0.2">
      <c r="A279" s="3">
        <v>45935</v>
      </c>
      <c r="B279">
        <v>-2</v>
      </c>
      <c r="C279">
        <f t="shared" si="4"/>
        <v>-1</v>
      </c>
    </row>
    <row r="280" spans="1:3" x14ac:dyDescent="0.2">
      <c r="A280" s="3">
        <v>45936</v>
      </c>
      <c r="B280">
        <v>2</v>
      </c>
      <c r="C280">
        <f t="shared" si="4"/>
        <v>1</v>
      </c>
    </row>
    <row r="281" spans="1:3" x14ac:dyDescent="0.2">
      <c r="A281" s="3">
        <v>45937</v>
      </c>
      <c r="B281">
        <v>2</v>
      </c>
      <c r="C281">
        <f t="shared" si="4"/>
        <v>1</v>
      </c>
    </row>
    <row r="282" spans="1:3" x14ac:dyDescent="0.2">
      <c r="A282" s="3">
        <v>45938</v>
      </c>
      <c r="B282">
        <v>2</v>
      </c>
      <c r="C282">
        <f t="shared" si="4"/>
        <v>1</v>
      </c>
    </row>
    <row r="283" spans="1:3" x14ac:dyDescent="0.2">
      <c r="A283" s="3">
        <v>45939</v>
      </c>
      <c r="B283">
        <v>2</v>
      </c>
      <c r="C283">
        <f t="shared" si="4"/>
        <v>1</v>
      </c>
    </row>
    <row r="284" spans="1:3" x14ac:dyDescent="0.2">
      <c r="A284" s="3">
        <v>45940</v>
      </c>
      <c r="B284">
        <v>-2</v>
      </c>
      <c r="C284">
        <f t="shared" si="4"/>
        <v>-1</v>
      </c>
    </row>
    <row r="285" spans="1:3" x14ac:dyDescent="0.2">
      <c r="A285" s="3">
        <v>45941</v>
      </c>
      <c r="B285">
        <v>-2</v>
      </c>
      <c r="C285">
        <f t="shared" si="4"/>
        <v>-1</v>
      </c>
    </row>
    <row r="286" spans="1:3" x14ac:dyDescent="0.2">
      <c r="A286" s="3">
        <v>45942</v>
      </c>
      <c r="B286">
        <v>-2</v>
      </c>
      <c r="C286">
        <f t="shared" si="4"/>
        <v>-1</v>
      </c>
    </row>
    <row r="287" spans="1:3" x14ac:dyDescent="0.2">
      <c r="A287" s="3">
        <v>45943</v>
      </c>
      <c r="B287">
        <v>2</v>
      </c>
      <c r="C287">
        <f t="shared" si="4"/>
        <v>1</v>
      </c>
    </row>
    <row r="288" spans="1:3" x14ac:dyDescent="0.2">
      <c r="A288" s="3">
        <v>45944</v>
      </c>
      <c r="B288">
        <v>-2</v>
      </c>
      <c r="C288">
        <f t="shared" si="4"/>
        <v>-1</v>
      </c>
    </row>
    <row r="289" spans="1:3" x14ac:dyDescent="0.2">
      <c r="A289" s="3">
        <v>45945</v>
      </c>
      <c r="B289">
        <v>2</v>
      </c>
      <c r="C289">
        <f t="shared" si="4"/>
        <v>1</v>
      </c>
    </row>
    <row r="290" spans="1:3" x14ac:dyDescent="0.2">
      <c r="A290" s="3">
        <v>45946</v>
      </c>
      <c r="B290">
        <v>2</v>
      </c>
      <c r="C290">
        <f t="shared" si="4"/>
        <v>1</v>
      </c>
    </row>
    <row r="291" spans="1:3" x14ac:dyDescent="0.2">
      <c r="A291" s="3">
        <v>45947</v>
      </c>
      <c r="B291">
        <v>-2</v>
      </c>
      <c r="C291">
        <f t="shared" si="4"/>
        <v>-1</v>
      </c>
    </row>
    <row r="292" spans="1:3" x14ac:dyDescent="0.2">
      <c r="A292" s="3">
        <v>45948</v>
      </c>
      <c r="B292">
        <v>2</v>
      </c>
      <c r="C292">
        <f t="shared" si="4"/>
        <v>1</v>
      </c>
    </row>
    <row r="293" spans="1:3" x14ac:dyDescent="0.2">
      <c r="A293" s="3">
        <v>45949</v>
      </c>
      <c r="B293">
        <v>-2</v>
      </c>
      <c r="C293">
        <f t="shared" si="4"/>
        <v>-1</v>
      </c>
    </row>
    <row r="294" spans="1:3" x14ac:dyDescent="0.2">
      <c r="A294" s="3">
        <v>45950</v>
      </c>
      <c r="B294">
        <v>-6</v>
      </c>
      <c r="C294">
        <f t="shared" si="4"/>
        <v>-3</v>
      </c>
    </row>
    <row r="295" spans="1:3" x14ac:dyDescent="0.2">
      <c r="A295" s="3">
        <v>45951</v>
      </c>
      <c r="B295">
        <v>-2</v>
      </c>
      <c r="C295">
        <f t="shared" si="4"/>
        <v>-1</v>
      </c>
    </row>
    <row r="296" spans="1:3" x14ac:dyDescent="0.2">
      <c r="A296" s="3">
        <v>45952</v>
      </c>
      <c r="B296">
        <v>-2</v>
      </c>
      <c r="C296">
        <f t="shared" si="4"/>
        <v>-1</v>
      </c>
    </row>
    <row r="297" spans="1:3" x14ac:dyDescent="0.2">
      <c r="A297" s="3">
        <v>45953</v>
      </c>
      <c r="B297">
        <v>2</v>
      </c>
      <c r="C297">
        <f t="shared" si="4"/>
        <v>1</v>
      </c>
    </row>
    <row r="298" spans="1:3" x14ac:dyDescent="0.2">
      <c r="A298" s="3">
        <v>45954</v>
      </c>
      <c r="B298">
        <v>2</v>
      </c>
      <c r="C298">
        <f t="shared" si="4"/>
        <v>1</v>
      </c>
    </row>
    <row r="299" spans="1:3" x14ac:dyDescent="0.2">
      <c r="A299" s="3">
        <v>45955</v>
      </c>
      <c r="B299">
        <v>2</v>
      </c>
      <c r="C299">
        <f t="shared" si="4"/>
        <v>1</v>
      </c>
    </row>
    <row r="300" spans="1:3" x14ac:dyDescent="0.2">
      <c r="A300" s="3">
        <v>45956</v>
      </c>
      <c r="B300">
        <v>-2</v>
      </c>
      <c r="C300">
        <f t="shared" si="4"/>
        <v>-1</v>
      </c>
    </row>
    <row r="301" spans="1:3" x14ac:dyDescent="0.2">
      <c r="A301" s="3">
        <v>45957</v>
      </c>
      <c r="B301">
        <v>-2</v>
      </c>
      <c r="C301">
        <f t="shared" si="4"/>
        <v>-1</v>
      </c>
    </row>
    <row r="302" spans="1:3" x14ac:dyDescent="0.2">
      <c r="A302" s="3">
        <v>45958</v>
      </c>
      <c r="B302">
        <v>2</v>
      </c>
      <c r="C302">
        <f t="shared" si="4"/>
        <v>1</v>
      </c>
    </row>
    <row r="303" spans="1:3" x14ac:dyDescent="0.2">
      <c r="A303" s="3">
        <v>45959</v>
      </c>
      <c r="B303">
        <v>-2</v>
      </c>
      <c r="C303">
        <f t="shared" si="4"/>
        <v>-1</v>
      </c>
    </row>
    <row r="304" spans="1:3" x14ac:dyDescent="0.2">
      <c r="A304" s="3">
        <v>45960</v>
      </c>
      <c r="B304">
        <v>2</v>
      </c>
      <c r="C304">
        <f t="shared" si="4"/>
        <v>1</v>
      </c>
    </row>
    <row r="305" spans="1:3" x14ac:dyDescent="0.2">
      <c r="A305" s="3">
        <v>45961</v>
      </c>
      <c r="B305">
        <v>2</v>
      </c>
      <c r="C305">
        <f t="shared" si="4"/>
        <v>1</v>
      </c>
    </row>
    <row r="306" spans="1:3" x14ac:dyDescent="0.2">
      <c r="A306" s="3">
        <v>45962</v>
      </c>
      <c r="B306">
        <v>2</v>
      </c>
      <c r="C306">
        <f t="shared" si="4"/>
        <v>1</v>
      </c>
    </row>
    <row r="307" spans="1:3" x14ac:dyDescent="0.2">
      <c r="A307" s="3">
        <v>45963</v>
      </c>
      <c r="B307">
        <v>2</v>
      </c>
      <c r="C307">
        <f t="shared" si="4"/>
        <v>1</v>
      </c>
    </row>
    <row r="308" spans="1:3" x14ac:dyDescent="0.2">
      <c r="A308" s="3">
        <v>45964</v>
      </c>
      <c r="B308">
        <v>2</v>
      </c>
      <c r="C308">
        <f t="shared" si="4"/>
        <v>1</v>
      </c>
    </row>
    <row r="309" spans="1:3" x14ac:dyDescent="0.2">
      <c r="A309" s="3">
        <v>45965</v>
      </c>
      <c r="B309">
        <v>-2</v>
      </c>
      <c r="C309">
        <f t="shared" si="4"/>
        <v>-1</v>
      </c>
    </row>
    <row r="310" spans="1:3" x14ac:dyDescent="0.2">
      <c r="A310" s="3">
        <v>45966</v>
      </c>
      <c r="B310">
        <v>2</v>
      </c>
      <c r="C310">
        <f t="shared" si="4"/>
        <v>1</v>
      </c>
    </row>
    <row r="311" spans="1:3" x14ac:dyDescent="0.2">
      <c r="A311" s="3">
        <v>45967</v>
      </c>
      <c r="B311">
        <v>2</v>
      </c>
      <c r="C311">
        <f t="shared" si="4"/>
        <v>1</v>
      </c>
    </row>
    <row r="312" spans="1:3" x14ac:dyDescent="0.2">
      <c r="A312" s="3">
        <v>45968</v>
      </c>
      <c r="B312">
        <v>2</v>
      </c>
      <c r="C312">
        <f t="shared" si="4"/>
        <v>1</v>
      </c>
    </row>
    <row r="313" spans="1:3" x14ac:dyDescent="0.2">
      <c r="A313" s="3">
        <v>45969</v>
      </c>
      <c r="B313">
        <v>2</v>
      </c>
      <c r="C313">
        <f t="shared" si="4"/>
        <v>1</v>
      </c>
    </row>
    <row r="314" spans="1:3" x14ac:dyDescent="0.2">
      <c r="A314" s="3">
        <v>45970</v>
      </c>
      <c r="B314">
        <v>2</v>
      </c>
      <c r="C314">
        <f t="shared" si="4"/>
        <v>1</v>
      </c>
    </row>
    <row r="315" spans="1:3" x14ac:dyDescent="0.2">
      <c r="A315" s="3">
        <v>45971</v>
      </c>
      <c r="B315">
        <v>-2</v>
      </c>
      <c r="C315">
        <f t="shared" si="4"/>
        <v>-1</v>
      </c>
    </row>
    <row r="316" spans="1:3" x14ac:dyDescent="0.2">
      <c r="A316" s="3">
        <v>45972</v>
      </c>
      <c r="B316">
        <v>-2</v>
      </c>
      <c r="C316">
        <f t="shared" si="4"/>
        <v>-1</v>
      </c>
    </row>
    <row r="317" spans="1:3" x14ac:dyDescent="0.2">
      <c r="A317" s="3">
        <v>45973</v>
      </c>
      <c r="B317">
        <v>2</v>
      </c>
      <c r="C317">
        <f t="shared" si="4"/>
        <v>1</v>
      </c>
    </row>
    <row r="318" spans="1:3" x14ac:dyDescent="0.2">
      <c r="A318" s="3">
        <v>45974</v>
      </c>
      <c r="B318">
        <v>2</v>
      </c>
      <c r="C318">
        <f t="shared" si="4"/>
        <v>1</v>
      </c>
    </row>
    <row r="319" spans="1:3" x14ac:dyDescent="0.2">
      <c r="A319" s="3">
        <v>45975</v>
      </c>
      <c r="B319">
        <v>2</v>
      </c>
      <c r="C319">
        <f t="shared" si="4"/>
        <v>1</v>
      </c>
    </row>
    <row r="320" spans="1:3" x14ac:dyDescent="0.2">
      <c r="A320" s="3">
        <v>45976</v>
      </c>
      <c r="B320">
        <v>2</v>
      </c>
      <c r="C320">
        <f t="shared" si="4"/>
        <v>1</v>
      </c>
    </row>
    <row r="321" spans="1:3" x14ac:dyDescent="0.2">
      <c r="A321" s="3">
        <v>45977</v>
      </c>
      <c r="B321">
        <v>2</v>
      </c>
      <c r="C321">
        <f t="shared" si="4"/>
        <v>1</v>
      </c>
    </row>
    <row r="322" spans="1:3" x14ac:dyDescent="0.2">
      <c r="A322" s="3">
        <v>45978</v>
      </c>
      <c r="B322">
        <v>2</v>
      </c>
      <c r="C322">
        <f t="shared" si="4"/>
        <v>1</v>
      </c>
    </row>
    <row r="323" spans="1:3" x14ac:dyDescent="0.2">
      <c r="A323" s="3">
        <v>45979</v>
      </c>
      <c r="B323">
        <v>-2</v>
      </c>
      <c r="C323">
        <f t="shared" ref="C323:C386" si="5">B323/2</f>
        <v>-1</v>
      </c>
    </row>
    <row r="324" spans="1:3" x14ac:dyDescent="0.2">
      <c r="A324" s="3">
        <v>45980</v>
      </c>
      <c r="B324">
        <v>-2</v>
      </c>
      <c r="C324">
        <f t="shared" si="5"/>
        <v>-1</v>
      </c>
    </row>
    <row r="325" spans="1:3" x14ac:dyDescent="0.2">
      <c r="A325" s="3">
        <v>45981</v>
      </c>
      <c r="B325">
        <v>-2</v>
      </c>
      <c r="C325">
        <f t="shared" si="5"/>
        <v>-1</v>
      </c>
    </row>
    <row r="326" spans="1:3" x14ac:dyDescent="0.2">
      <c r="A326" s="3">
        <v>45982</v>
      </c>
      <c r="B326">
        <v>-2</v>
      </c>
      <c r="C326">
        <f t="shared" si="5"/>
        <v>-1</v>
      </c>
    </row>
    <row r="327" spans="1:3" x14ac:dyDescent="0.2">
      <c r="A327" s="3">
        <v>45983</v>
      </c>
      <c r="B327">
        <v>2</v>
      </c>
      <c r="C327">
        <f t="shared" si="5"/>
        <v>1</v>
      </c>
    </row>
    <row r="328" spans="1:3" x14ac:dyDescent="0.2">
      <c r="A328" s="3">
        <v>45984</v>
      </c>
      <c r="B328">
        <v>-2</v>
      </c>
      <c r="C328">
        <f t="shared" si="5"/>
        <v>-1</v>
      </c>
    </row>
    <row r="329" spans="1:3" x14ac:dyDescent="0.2">
      <c r="A329" s="3">
        <v>45985</v>
      </c>
      <c r="B329">
        <v>2</v>
      </c>
      <c r="C329">
        <f t="shared" si="5"/>
        <v>1</v>
      </c>
    </row>
    <row r="330" spans="1:3" x14ac:dyDescent="0.2">
      <c r="A330" s="3">
        <v>45986</v>
      </c>
      <c r="B330">
        <v>2</v>
      </c>
      <c r="C330">
        <f t="shared" si="5"/>
        <v>1</v>
      </c>
    </row>
    <row r="331" spans="1:3" x14ac:dyDescent="0.2">
      <c r="A331" s="3">
        <v>45987</v>
      </c>
      <c r="B331">
        <v>2</v>
      </c>
      <c r="C331">
        <f t="shared" si="5"/>
        <v>1</v>
      </c>
    </row>
    <row r="332" spans="1:3" x14ac:dyDescent="0.2">
      <c r="A332" s="3">
        <v>45988</v>
      </c>
      <c r="B332">
        <v>-2</v>
      </c>
      <c r="C332">
        <f t="shared" si="5"/>
        <v>-1</v>
      </c>
    </row>
    <row r="333" spans="1:3" x14ac:dyDescent="0.2">
      <c r="A333" s="3">
        <v>45989</v>
      </c>
      <c r="B333">
        <v>2</v>
      </c>
      <c r="C333">
        <f t="shared" si="5"/>
        <v>1</v>
      </c>
    </row>
    <row r="334" spans="1:3" x14ac:dyDescent="0.2">
      <c r="A334" s="3">
        <v>45990</v>
      </c>
      <c r="B334">
        <v>2</v>
      </c>
      <c r="C334">
        <f t="shared" si="5"/>
        <v>1</v>
      </c>
    </row>
    <row r="335" spans="1:3" x14ac:dyDescent="0.2">
      <c r="A335" s="3">
        <v>45991</v>
      </c>
      <c r="B335">
        <v>2</v>
      </c>
      <c r="C335">
        <f t="shared" si="5"/>
        <v>1</v>
      </c>
    </row>
    <row r="336" spans="1:3" x14ac:dyDescent="0.2">
      <c r="A336" s="3">
        <v>45992</v>
      </c>
      <c r="B336">
        <v>-2</v>
      </c>
      <c r="C336">
        <f t="shared" si="5"/>
        <v>-1</v>
      </c>
    </row>
    <row r="337" spans="1:3" x14ac:dyDescent="0.2">
      <c r="A337" s="3">
        <v>45993</v>
      </c>
      <c r="B337">
        <v>2</v>
      </c>
      <c r="C337">
        <f t="shared" si="5"/>
        <v>1</v>
      </c>
    </row>
    <row r="338" spans="1:3" x14ac:dyDescent="0.2">
      <c r="A338" s="3">
        <v>45994</v>
      </c>
      <c r="B338">
        <v>2</v>
      </c>
      <c r="C338">
        <f t="shared" si="5"/>
        <v>1</v>
      </c>
    </row>
    <row r="339" spans="1:3" x14ac:dyDescent="0.2">
      <c r="A339" s="3">
        <v>45995</v>
      </c>
      <c r="B339">
        <v>2</v>
      </c>
      <c r="C339">
        <f t="shared" si="5"/>
        <v>1</v>
      </c>
    </row>
    <row r="340" spans="1:3" x14ac:dyDescent="0.2">
      <c r="A340" s="3">
        <v>45996</v>
      </c>
      <c r="B340">
        <v>2</v>
      </c>
      <c r="C340">
        <f t="shared" si="5"/>
        <v>1</v>
      </c>
    </row>
    <row r="341" spans="1:3" x14ac:dyDescent="0.2">
      <c r="A341" s="3">
        <v>45997</v>
      </c>
      <c r="B341">
        <v>2</v>
      </c>
      <c r="C341">
        <f t="shared" si="5"/>
        <v>1</v>
      </c>
    </row>
    <row r="342" spans="1:3" x14ac:dyDescent="0.2">
      <c r="A342" s="3">
        <v>45998</v>
      </c>
      <c r="B342">
        <v>2</v>
      </c>
      <c r="C342">
        <f t="shared" si="5"/>
        <v>1</v>
      </c>
    </row>
    <row r="343" spans="1:3" x14ac:dyDescent="0.2">
      <c r="A343" s="3">
        <v>45999</v>
      </c>
      <c r="B343">
        <v>-2</v>
      </c>
      <c r="C343">
        <f t="shared" si="5"/>
        <v>-1</v>
      </c>
    </row>
    <row r="344" spans="1:3" x14ac:dyDescent="0.2">
      <c r="A344" s="3">
        <v>46000</v>
      </c>
      <c r="B344">
        <v>2</v>
      </c>
      <c r="C344">
        <f t="shared" si="5"/>
        <v>1</v>
      </c>
    </row>
    <row r="345" spans="1:3" x14ac:dyDescent="0.2">
      <c r="A345" s="3">
        <v>46001</v>
      </c>
      <c r="B345">
        <v>2</v>
      </c>
      <c r="C345">
        <f t="shared" si="5"/>
        <v>1</v>
      </c>
    </row>
    <row r="346" spans="1:3" x14ac:dyDescent="0.2">
      <c r="A346" s="3">
        <v>46002</v>
      </c>
      <c r="B346">
        <v>2</v>
      </c>
      <c r="C346">
        <f t="shared" si="5"/>
        <v>1</v>
      </c>
    </row>
    <row r="347" spans="1:3" x14ac:dyDescent="0.2">
      <c r="A347" s="3">
        <v>46003</v>
      </c>
      <c r="B347">
        <v>-2</v>
      </c>
      <c r="C347">
        <f t="shared" si="5"/>
        <v>-1</v>
      </c>
    </row>
    <row r="348" spans="1:3" x14ac:dyDescent="0.2">
      <c r="A348" s="3">
        <v>46004</v>
      </c>
      <c r="B348">
        <v>2</v>
      </c>
      <c r="C348">
        <f t="shared" si="5"/>
        <v>1</v>
      </c>
    </row>
    <row r="349" spans="1:3" x14ac:dyDescent="0.2">
      <c r="A349" s="3">
        <v>46005</v>
      </c>
      <c r="B349">
        <v>2</v>
      </c>
      <c r="C349">
        <f t="shared" si="5"/>
        <v>1</v>
      </c>
    </row>
    <row r="350" spans="1:3" x14ac:dyDescent="0.2">
      <c r="A350" s="3">
        <v>46006</v>
      </c>
      <c r="B350">
        <v>2</v>
      </c>
      <c r="C350">
        <f t="shared" si="5"/>
        <v>1</v>
      </c>
    </row>
    <row r="351" spans="1:3" x14ac:dyDescent="0.2">
      <c r="A351" s="3">
        <v>46007</v>
      </c>
      <c r="B351">
        <v>2</v>
      </c>
      <c r="C351">
        <f t="shared" si="5"/>
        <v>1</v>
      </c>
    </row>
    <row r="352" spans="1:3" x14ac:dyDescent="0.2">
      <c r="A352" s="3">
        <v>46008</v>
      </c>
      <c r="B352">
        <v>2</v>
      </c>
      <c r="C352">
        <f t="shared" si="5"/>
        <v>1</v>
      </c>
    </row>
    <row r="353" spans="1:3" x14ac:dyDescent="0.2">
      <c r="A353" s="3">
        <v>46009</v>
      </c>
      <c r="B353">
        <v>2</v>
      </c>
      <c r="C353">
        <f t="shared" si="5"/>
        <v>1</v>
      </c>
    </row>
    <row r="354" spans="1:3" x14ac:dyDescent="0.2">
      <c r="A354" s="3">
        <v>46010</v>
      </c>
      <c r="B354">
        <v>-2</v>
      </c>
      <c r="C354">
        <f t="shared" si="5"/>
        <v>-1</v>
      </c>
    </row>
    <row r="355" spans="1:3" x14ac:dyDescent="0.2">
      <c r="A355" s="3">
        <v>46011</v>
      </c>
      <c r="B355">
        <v>2</v>
      </c>
      <c r="C355">
        <f t="shared" si="5"/>
        <v>1</v>
      </c>
    </row>
    <row r="356" spans="1:3" x14ac:dyDescent="0.2">
      <c r="A356" s="3">
        <v>46012</v>
      </c>
      <c r="B356">
        <v>2</v>
      </c>
      <c r="C356">
        <f t="shared" si="5"/>
        <v>1</v>
      </c>
    </row>
    <row r="357" spans="1:3" x14ac:dyDescent="0.2">
      <c r="A357" s="3">
        <v>46013</v>
      </c>
      <c r="B357">
        <v>-2</v>
      </c>
      <c r="C357">
        <f t="shared" si="5"/>
        <v>-1</v>
      </c>
    </row>
    <row r="358" spans="1:3" x14ac:dyDescent="0.2">
      <c r="A358" s="3">
        <v>46014</v>
      </c>
      <c r="B358">
        <v>2</v>
      </c>
      <c r="C358">
        <f t="shared" si="5"/>
        <v>1</v>
      </c>
    </row>
    <row r="359" spans="1:3" x14ac:dyDescent="0.2">
      <c r="A359" s="3">
        <v>46015</v>
      </c>
      <c r="B359">
        <v>2</v>
      </c>
      <c r="C359">
        <f t="shared" si="5"/>
        <v>1</v>
      </c>
    </row>
    <row r="360" spans="1:3" x14ac:dyDescent="0.2">
      <c r="A360" s="3">
        <v>46016</v>
      </c>
      <c r="B360">
        <v>2</v>
      </c>
      <c r="C360">
        <f t="shared" si="5"/>
        <v>1</v>
      </c>
    </row>
    <row r="361" spans="1:3" x14ac:dyDescent="0.2">
      <c r="A361" s="3">
        <v>46017</v>
      </c>
      <c r="B361">
        <v>-2</v>
      </c>
      <c r="C361">
        <f t="shared" si="5"/>
        <v>-1</v>
      </c>
    </row>
    <row r="362" spans="1:3" x14ac:dyDescent="0.2">
      <c r="A362" s="3">
        <v>46018</v>
      </c>
      <c r="B362">
        <v>2</v>
      </c>
      <c r="C362">
        <f t="shared" si="5"/>
        <v>1</v>
      </c>
    </row>
    <row r="363" spans="1:3" x14ac:dyDescent="0.2">
      <c r="A363" s="3">
        <v>46019</v>
      </c>
      <c r="B363">
        <v>2</v>
      </c>
      <c r="C363">
        <f t="shared" si="5"/>
        <v>1</v>
      </c>
    </row>
    <row r="364" spans="1:3" x14ac:dyDescent="0.2">
      <c r="A364" s="3">
        <v>46020</v>
      </c>
      <c r="B364">
        <v>-2</v>
      </c>
      <c r="C364">
        <f t="shared" si="5"/>
        <v>-1</v>
      </c>
    </row>
    <row r="365" spans="1:3" x14ac:dyDescent="0.2">
      <c r="A365" s="3">
        <v>46021</v>
      </c>
      <c r="B365">
        <v>2</v>
      </c>
      <c r="C365">
        <f t="shared" si="5"/>
        <v>1</v>
      </c>
    </row>
    <row r="366" spans="1:3" x14ac:dyDescent="0.2">
      <c r="A366" s="3">
        <v>46022</v>
      </c>
      <c r="B366">
        <v>2</v>
      </c>
      <c r="C366">
        <f t="shared" si="5"/>
        <v>1</v>
      </c>
    </row>
    <row r="367" spans="1:3" x14ac:dyDescent="0.2">
      <c r="A367" s="3">
        <v>46023</v>
      </c>
      <c r="B367">
        <v>2</v>
      </c>
      <c r="C367">
        <f t="shared" si="5"/>
        <v>1</v>
      </c>
    </row>
    <row r="368" spans="1:3" x14ac:dyDescent="0.2">
      <c r="A368" s="3">
        <v>46024</v>
      </c>
      <c r="B368">
        <v>-2</v>
      </c>
      <c r="C368">
        <f t="shared" si="5"/>
        <v>-1</v>
      </c>
    </row>
    <row r="369" spans="1:3" x14ac:dyDescent="0.2">
      <c r="A369" s="3">
        <v>46025</v>
      </c>
      <c r="B369">
        <v>2</v>
      </c>
      <c r="C369">
        <f t="shared" si="5"/>
        <v>1</v>
      </c>
    </row>
    <row r="370" spans="1:3" x14ac:dyDescent="0.2">
      <c r="A370" s="3">
        <v>46026</v>
      </c>
      <c r="B370">
        <v>-2</v>
      </c>
      <c r="C370">
        <f t="shared" si="5"/>
        <v>-1</v>
      </c>
    </row>
    <row r="371" spans="1:3" x14ac:dyDescent="0.2">
      <c r="A371" s="3">
        <v>46027</v>
      </c>
      <c r="B371">
        <v>-2</v>
      </c>
      <c r="C371">
        <f t="shared" si="5"/>
        <v>-1</v>
      </c>
    </row>
    <row r="372" spans="1:3" x14ac:dyDescent="0.2">
      <c r="A372" s="3">
        <v>46028</v>
      </c>
      <c r="B372">
        <v>2</v>
      </c>
      <c r="C372">
        <f t="shared" si="5"/>
        <v>1</v>
      </c>
    </row>
    <row r="373" spans="1:3" x14ac:dyDescent="0.2">
      <c r="A373" s="3">
        <v>46029</v>
      </c>
      <c r="B373">
        <v>-2</v>
      </c>
      <c r="C373">
        <f t="shared" si="5"/>
        <v>-1</v>
      </c>
    </row>
    <row r="374" spans="1:3" x14ac:dyDescent="0.2">
      <c r="A374" s="3">
        <v>46030</v>
      </c>
      <c r="B374">
        <v>2</v>
      </c>
      <c r="C374">
        <f t="shared" si="5"/>
        <v>1</v>
      </c>
    </row>
    <row r="375" spans="1:3" x14ac:dyDescent="0.2">
      <c r="A375" s="3">
        <v>46031</v>
      </c>
      <c r="B375">
        <v>2</v>
      </c>
      <c r="C375">
        <f t="shared" si="5"/>
        <v>1</v>
      </c>
    </row>
    <row r="376" spans="1:3" x14ac:dyDescent="0.2">
      <c r="A376" s="3">
        <v>46032</v>
      </c>
      <c r="B376">
        <v>2</v>
      </c>
      <c r="C376">
        <f t="shared" si="5"/>
        <v>1</v>
      </c>
    </row>
    <row r="377" spans="1:3" x14ac:dyDescent="0.2">
      <c r="A377" s="3">
        <v>46033</v>
      </c>
      <c r="B377">
        <v>2</v>
      </c>
      <c r="C377">
        <f t="shared" si="5"/>
        <v>1</v>
      </c>
    </row>
    <row r="378" spans="1:3" x14ac:dyDescent="0.2">
      <c r="A378" s="3">
        <v>46034</v>
      </c>
      <c r="B378">
        <v>-2</v>
      </c>
      <c r="C378">
        <f t="shared" si="5"/>
        <v>-1</v>
      </c>
    </row>
    <row r="379" spans="1:3" x14ac:dyDescent="0.2">
      <c r="A379" s="3">
        <v>46035</v>
      </c>
      <c r="B379">
        <v>2</v>
      </c>
      <c r="C379">
        <f t="shared" si="5"/>
        <v>1</v>
      </c>
    </row>
    <row r="380" spans="1:3" x14ac:dyDescent="0.2">
      <c r="A380" s="3">
        <v>46036</v>
      </c>
      <c r="B380">
        <v>-2</v>
      </c>
      <c r="C380">
        <f t="shared" si="5"/>
        <v>-1</v>
      </c>
    </row>
    <row r="381" spans="1:3" x14ac:dyDescent="0.2">
      <c r="A381" s="3">
        <v>46037</v>
      </c>
      <c r="B381">
        <v>2</v>
      </c>
      <c r="C381">
        <f t="shared" si="5"/>
        <v>1</v>
      </c>
    </row>
    <row r="382" spans="1:3" x14ac:dyDescent="0.2">
      <c r="A382" s="3">
        <v>46038</v>
      </c>
      <c r="B382">
        <v>2</v>
      </c>
      <c r="C382">
        <f t="shared" si="5"/>
        <v>1</v>
      </c>
    </row>
    <row r="383" spans="1:3" x14ac:dyDescent="0.2">
      <c r="A383" s="3">
        <v>46039</v>
      </c>
      <c r="B383">
        <v>-2</v>
      </c>
      <c r="C383">
        <f t="shared" si="5"/>
        <v>-1</v>
      </c>
    </row>
    <row r="384" spans="1:3" x14ac:dyDescent="0.2">
      <c r="A384" s="3">
        <v>46040</v>
      </c>
      <c r="B384">
        <v>-2</v>
      </c>
      <c r="C384">
        <f t="shared" si="5"/>
        <v>-1</v>
      </c>
    </row>
    <row r="385" spans="1:3" x14ac:dyDescent="0.2">
      <c r="A385" s="3">
        <v>46041</v>
      </c>
      <c r="B385">
        <v>-2</v>
      </c>
      <c r="C385">
        <f t="shared" si="5"/>
        <v>-1</v>
      </c>
    </row>
    <row r="386" spans="1:3" x14ac:dyDescent="0.2">
      <c r="A386" s="3">
        <v>46042</v>
      </c>
      <c r="B386">
        <v>-2</v>
      </c>
      <c r="C386">
        <f t="shared" si="5"/>
        <v>-1</v>
      </c>
    </row>
    <row r="387" spans="1:3" x14ac:dyDescent="0.2">
      <c r="A387" s="3">
        <v>46043</v>
      </c>
      <c r="B387">
        <v>2</v>
      </c>
      <c r="C387">
        <f t="shared" ref="C387:C397" si="6">B387/2</f>
        <v>1</v>
      </c>
    </row>
    <row r="388" spans="1:3" x14ac:dyDescent="0.2">
      <c r="A388" s="3">
        <v>46044</v>
      </c>
      <c r="B388">
        <v>-2</v>
      </c>
      <c r="C388">
        <f t="shared" si="6"/>
        <v>-1</v>
      </c>
    </row>
    <row r="389" spans="1:3" x14ac:dyDescent="0.2">
      <c r="A389" s="3">
        <v>46045</v>
      </c>
      <c r="B389">
        <v>2</v>
      </c>
      <c r="C389">
        <f t="shared" si="6"/>
        <v>1</v>
      </c>
    </row>
    <row r="390" spans="1:3" x14ac:dyDescent="0.2">
      <c r="A390" s="3">
        <v>46046</v>
      </c>
      <c r="B390">
        <v>-2</v>
      </c>
      <c r="C390">
        <f t="shared" si="6"/>
        <v>-1</v>
      </c>
    </row>
    <row r="391" spans="1:3" x14ac:dyDescent="0.2">
      <c r="A391" s="3">
        <v>46047</v>
      </c>
      <c r="B391">
        <v>-2</v>
      </c>
      <c r="C391">
        <f t="shared" si="6"/>
        <v>-1</v>
      </c>
    </row>
    <row r="392" spans="1:3" x14ac:dyDescent="0.2">
      <c r="A392" s="3">
        <v>46048</v>
      </c>
      <c r="B392">
        <v>2</v>
      </c>
      <c r="C392">
        <f t="shared" si="6"/>
        <v>1</v>
      </c>
    </row>
    <row r="393" spans="1:3" x14ac:dyDescent="0.2">
      <c r="A393" s="3">
        <v>46049</v>
      </c>
      <c r="B393">
        <v>2</v>
      </c>
      <c r="C393">
        <f t="shared" si="6"/>
        <v>1</v>
      </c>
    </row>
    <row r="394" spans="1:3" x14ac:dyDescent="0.2">
      <c r="A394" s="3">
        <v>46050</v>
      </c>
      <c r="B394">
        <v>-2</v>
      </c>
      <c r="C394">
        <f t="shared" si="6"/>
        <v>-1</v>
      </c>
    </row>
    <row r="395" spans="1:3" x14ac:dyDescent="0.2">
      <c r="A395" s="3">
        <v>46051</v>
      </c>
      <c r="B395">
        <v>2</v>
      </c>
      <c r="C395">
        <f t="shared" si="6"/>
        <v>1</v>
      </c>
    </row>
    <row r="396" spans="1:3" x14ac:dyDescent="0.2">
      <c r="A396" s="3">
        <v>46052</v>
      </c>
      <c r="B396">
        <v>2</v>
      </c>
      <c r="C396">
        <f t="shared" si="6"/>
        <v>1</v>
      </c>
    </row>
    <row r="397" spans="1:3" x14ac:dyDescent="0.2">
      <c r="A397" s="3">
        <v>46053</v>
      </c>
      <c r="B397">
        <v>2</v>
      </c>
      <c r="C397">
        <f t="shared" si="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Backtest_2025-01-01_to_2025-06-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ch</dc:creator>
  <cp:lastModifiedBy>Chinthakindi  Saketh</cp:lastModifiedBy>
  <dcterms:created xsi:type="dcterms:W3CDTF">2026-02-25T06:30:34Z</dcterms:created>
  <dcterms:modified xsi:type="dcterms:W3CDTF">2026-05-25T07:26:21Z</dcterms:modified>
</cp:coreProperties>
</file>